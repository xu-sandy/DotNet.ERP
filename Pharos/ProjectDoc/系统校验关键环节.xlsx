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道诚科技\项目开发\道诚CRM\04Develop\Pharos\ProjectDoc\"/>
    </mc:Choice>
  </mc:AlternateContent>
  <bookViews>
    <workbookView xWindow="0" yWindow="0" windowWidth="15360" windowHeight="9225" firstSheet="2" activeTab="4"/>
  </bookViews>
  <sheets>
    <sheet name="POS校验" sheetId="1" r:id="rId1"/>
    <sheet name="后台数据校验" sheetId="2" r:id="rId2"/>
    <sheet name="库存报表" sheetId="4" r:id="rId3"/>
    <sheet name="盘点差异报表" sheetId="6" r:id="rId4"/>
    <sheet name="进销存报表" sheetId="3" r:id="rId5"/>
    <sheet name="会员销售报表" sheetId="7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7" i="3" l="1"/>
  <c r="A18" i="3"/>
  <c r="A5" i="7" l="1"/>
  <c r="A4" i="7"/>
  <c r="A3" i="7"/>
  <c r="A2" i="7"/>
  <c r="A6" i="6"/>
  <c r="A7" i="6"/>
  <c r="A5" i="6"/>
  <c r="A4" i="6"/>
  <c r="A3" i="6"/>
  <c r="A2" i="6"/>
  <c r="A3" i="4"/>
  <c r="A4" i="4"/>
  <c r="A5" i="4"/>
  <c r="A2" i="4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2" i="3"/>
</calcChain>
</file>

<file path=xl/sharedStrings.xml><?xml version="1.0" encoding="utf-8"?>
<sst xmlns="http://schemas.openxmlformats.org/spreadsheetml/2006/main" count="221" uniqueCount="145">
  <si>
    <t>启动登录界面
（收银员）</t>
    <phoneticPr fontId="1" type="noConversion"/>
  </si>
  <si>
    <t>检验结果</t>
    <phoneticPr fontId="1" type="noConversion"/>
  </si>
  <si>
    <t>DB关联</t>
    <phoneticPr fontId="1" type="noConversion"/>
  </si>
  <si>
    <t>退货操作
（收银员）</t>
    <phoneticPr fontId="1" type="noConversion"/>
  </si>
  <si>
    <t>换货操作
（收银员）</t>
    <phoneticPr fontId="1" type="noConversion"/>
  </si>
  <si>
    <t>日结
（收银员）</t>
    <phoneticPr fontId="1" type="noConversion"/>
  </si>
  <si>
    <t>整单退货
（收银员）</t>
    <phoneticPr fontId="1" type="noConversion"/>
  </si>
  <si>
    <t>动作</t>
    <phoneticPr fontId="1" type="noConversion"/>
  </si>
  <si>
    <t>功能/角色</t>
    <phoneticPr fontId="1" type="noConversion"/>
  </si>
  <si>
    <t>保存到SQLite</t>
    <phoneticPr fontId="1" type="noConversion"/>
  </si>
  <si>
    <t>购物结算
（收银员）</t>
    <phoneticPr fontId="1" type="noConversion"/>
  </si>
  <si>
    <t>功能</t>
    <phoneticPr fontId="1" type="noConversion"/>
  </si>
  <si>
    <t>可组合筛选条件</t>
    <phoneticPr fontId="1" type="noConversion"/>
  </si>
  <si>
    <t>库存查询
（库存管理模块）</t>
    <phoneticPr fontId="1" type="noConversion"/>
  </si>
  <si>
    <t>商品销售明细报表
（销售报表模块）</t>
    <phoneticPr fontId="1" type="noConversion"/>
  </si>
  <si>
    <t>品类、品牌、供应商、门店、状态、
关键字（货号/品名/条码）</t>
    <phoneticPr fontId="1" type="noConversion"/>
  </si>
  <si>
    <t>日期（S-E）、
门店、品类、供应商、品牌、
排序（销售数量/销量金额/毛利额）</t>
    <phoneticPr fontId="1" type="noConversion"/>
  </si>
  <si>
    <t>库存量
（产品档案列表）</t>
    <phoneticPr fontId="1" type="noConversion"/>
  </si>
  <si>
    <t>品类、品牌、供应商、状态、
关键字（货号、品名、条码）</t>
    <phoneticPr fontId="1" type="noConversion"/>
  </si>
  <si>
    <t>Sqlite:
退换货信息 整单退货：（涉及表：SaleOrders、SalesReturns、SalesReturnsDetailed）</t>
    <phoneticPr fontId="1" type="noConversion"/>
  </si>
  <si>
    <t>（涉及表：SaleOrders、SaleDetail、SalesReturns、SalesReturnsDetailed、ConsumptionPayment、PosIncomePayout、SaleDetailsTotal、WipeZero）</t>
    <phoneticPr fontId="1" type="noConversion"/>
  </si>
  <si>
    <t>存在问题</t>
  </si>
  <si>
    <t>销售金额有问题，
还没参考到原有系统的实现</t>
    <phoneticPr fontId="1" type="noConversion"/>
  </si>
  <si>
    <t>关键点1：校验库存量是否正确（出/入库、换货、退单、收货确认，都对库存量产生影响）。
关键点2：检验库存量在盘点销是否会自动做
涉及表：产品档案视图(Vw_Product),商品库(Commodity),促销折扣(CommodityDiscount)
产品组合（ProductGroup）</t>
    <phoneticPr fontId="1" type="noConversion"/>
  </si>
  <si>
    <t>已通过</t>
  </si>
  <si>
    <t>关键点：校验库存是否正确（单品、组合、拆分各自的库存量，组合和拆分的量若小于0则直接显示0）。
涉及表：产品档案视图(Vw_Product)</t>
    <phoneticPr fontId="1" type="noConversion"/>
  </si>
  <si>
    <t>数据同步
（上传、下载）</t>
    <phoneticPr fontId="1" type="noConversion"/>
  </si>
  <si>
    <t>待检测</t>
  </si>
  <si>
    <t>保存到SQLite</t>
    <phoneticPr fontId="1" type="noConversion"/>
  </si>
  <si>
    <t>关键点：校验销售数量、金额、合计是否正确（来自各门店的销售数据）。
涉及表：销售主表(SaleOrders),销售明细表(SaleDetail),产品档案视图(Vw_Product),
促销捆绑（Bundling）</t>
    <phoneticPr fontId="1" type="noConversion"/>
  </si>
  <si>
    <r>
      <t>Sqlite:
1.销售单信息（涉及表：SaleOrders、SaleDetail、ConsumptionPayment、SaleDetailsTotal、WipeZero）；
2.会员信息（涉及表：Members）；
3.积分信息（涉及表：</t>
    </r>
    <r>
      <rPr>
        <sz val="10"/>
        <rFont val="宋体"/>
        <family val="3"/>
        <charset val="134"/>
        <scheme val="minor"/>
      </rPr>
      <t>MemberIntegral</t>
    </r>
    <r>
      <rPr>
        <sz val="10"/>
        <color theme="1"/>
        <rFont val="宋体"/>
        <family val="2"/>
        <charset val="134"/>
        <scheme val="minor"/>
      </rPr>
      <t>）。</t>
    </r>
    <phoneticPr fontId="1" type="noConversion"/>
  </si>
  <si>
    <t>Sqlite:
退换货信息 退货：（涉及表：SalesReturns、SalesReturnsDetailed）</t>
    <phoneticPr fontId="1" type="noConversion"/>
  </si>
  <si>
    <t>Sqlite:
退换货信息 换货：（涉及表：SaleOrders、SaleDetail、SaleDetailsTotal、ConsumptionPayment、SalesReturns、SalesReturnsDetailed）</t>
    <phoneticPr fontId="1" type="noConversion"/>
  </si>
  <si>
    <r>
      <t>上传到SQL Server（仅限本店未上传的相关信息）：
1.销售信息、退换货信息、出入款信息、会员信息[</t>
    </r>
    <r>
      <rPr>
        <sz val="10"/>
        <color rgb="FFFF0000"/>
        <rFont val="宋体"/>
        <family val="3"/>
        <charset val="134"/>
        <scheme val="minor"/>
      </rPr>
      <t>出于存在关联或者统计需要，以下表为一个上传数据包</t>
    </r>
    <r>
      <rPr>
        <sz val="10"/>
        <color theme="1"/>
        <rFont val="宋体"/>
        <family val="2"/>
        <charset val="134"/>
        <scheme val="minor"/>
      </rPr>
      <t>]
（涉及表：SaleOrders、SaleDetail、SalesReturns、SalesReturnsDetailed、ConsumptionPayment、PosIncomePayout、Members、MemberIntegral、SaleDetailsTotal、WipeZero、SaleCommodityHistory）；
2.店员登录信息
（涉及表：SysStoreUserInfo）
下载到SQLite：
1.员工信息（涉及表：SysStoreUserInfo，
  所有有效的 收银员/营业员/店长/数据维护的人员）；
2.产品档案信息（仅限本店销售的商品，涉及表：
ProductBrand、ProductCategory、SysDataDictionary、[</t>
    </r>
    <r>
      <rPr>
        <sz val="10"/>
        <color rgb="FFFF0000"/>
        <rFont val="宋体"/>
        <family val="3"/>
        <charset val="134"/>
        <scheme val="minor"/>
      </rPr>
      <t>sqlite</t>
    </r>
    <r>
      <rPr>
        <sz val="10"/>
        <color theme="1"/>
        <rFont val="宋体"/>
        <family val="2"/>
        <charset val="134"/>
        <scheme val="minor"/>
      </rPr>
      <t>]ProductInfo/([</t>
    </r>
    <r>
      <rPr>
        <sz val="10"/>
        <color rgb="FFFF0000"/>
        <rFont val="宋体"/>
        <family val="3"/>
        <charset val="134"/>
        <scheme val="minor"/>
      </rPr>
      <t>sql server</t>
    </r>
    <r>
      <rPr>
        <sz val="10"/>
        <color theme="1"/>
        <rFont val="宋体"/>
        <family val="2"/>
        <charset val="134"/>
        <scheme val="minor"/>
      </rPr>
      <t>]ProductRecord、ProductChangePrice、ProductChangePriceList、ProductGroup)）；
3.销售信息、退换货信息、出入款信息[</t>
    </r>
    <r>
      <rPr>
        <sz val="10"/>
        <color rgb="FFFF0000"/>
        <rFont val="宋体"/>
        <family val="3"/>
        <charset val="134"/>
        <scheme val="minor"/>
      </rPr>
      <t>出于存在关联或者统计需要，以下表为一个下载数据包</t>
    </r>
    <r>
      <rPr>
        <sz val="10"/>
        <color theme="1"/>
        <rFont val="宋体"/>
        <family val="2"/>
        <charset val="134"/>
        <scheme val="minor"/>
      </rPr>
      <t>]
（涉及表：SaleOrders、SaleDetail、SalesReturns、SalesReturnsDetailed、ConsumptionPayment、PosIncomePayout、SaleDetailsTotal、WipeZero）；
4.会员基本信息（所有有效的会员基本信息，涉及表：Members）；
5.促销商品信息（仅限本店有效的促销品，涉及表：CommodityPromotion、Bundling、</t>
    </r>
    <r>
      <rPr>
        <sz val="10"/>
        <color theme="1"/>
        <rFont val="宋体"/>
        <family val="3"/>
        <charset val="134"/>
        <scheme val="minor"/>
      </rPr>
      <t>BundlingList、CommodityDiscount、FreeGiftPurchase、FreeGiftPurchaseList、PromotionBlend、PromotionBlendList</t>
    </r>
    <r>
      <rPr>
        <sz val="10"/>
        <color theme="1"/>
        <rFont val="宋体"/>
        <family val="2"/>
        <charset val="134"/>
        <scheme val="minor"/>
      </rPr>
      <t>）；
6.公告信息（仅限本店有效的公告信息，涉及表：Notice）。
7.接口信息（用于获取接口服务地址，接口是否可用等信息，涉及表：ApiLibrary）</t>
    </r>
    <phoneticPr fontId="1" type="noConversion"/>
  </si>
  <si>
    <t>字段属性</t>
    <phoneticPr fontId="1" type="noConversion"/>
  </si>
  <si>
    <t>采购入库金额</t>
    <phoneticPr fontId="1" type="noConversion"/>
  </si>
  <si>
    <t>赠送入库数量</t>
    <phoneticPr fontId="1" type="noConversion"/>
  </si>
  <si>
    <t>赠送入库金额</t>
    <phoneticPr fontId="1" type="noConversion"/>
  </si>
  <si>
    <t>采购退货数量</t>
    <phoneticPr fontId="1" type="noConversion"/>
  </si>
  <si>
    <t>采购退货金额</t>
    <phoneticPr fontId="1" type="noConversion"/>
  </si>
  <si>
    <t>店内调出数量</t>
    <phoneticPr fontId="1" type="noConversion"/>
  </si>
  <si>
    <t>店内调出金额</t>
    <phoneticPr fontId="1" type="noConversion"/>
  </si>
  <si>
    <t>店内调入数量</t>
    <phoneticPr fontId="1" type="noConversion"/>
  </si>
  <si>
    <t>店内调入金额</t>
    <phoneticPr fontId="1" type="noConversion"/>
  </si>
  <si>
    <t>批发销售数</t>
    <phoneticPr fontId="1" type="noConversion"/>
  </si>
  <si>
    <t>批发销售金额</t>
    <phoneticPr fontId="1" type="noConversion"/>
  </si>
  <si>
    <t>批发销售成本</t>
    <phoneticPr fontId="1" type="noConversion"/>
  </si>
  <si>
    <t xml:space="preserve">批发毛利 </t>
    <phoneticPr fontId="1" type="noConversion"/>
  </si>
  <si>
    <t>批发毛利率</t>
    <phoneticPr fontId="1" type="noConversion"/>
  </si>
  <si>
    <t>序号</t>
    <phoneticPr fontId="1" type="noConversion"/>
  </si>
  <si>
    <t>其它出库数量</t>
    <phoneticPr fontId="1" type="noConversion"/>
  </si>
  <si>
    <t xml:space="preserve">其它出库金额 </t>
    <phoneticPr fontId="1" type="noConversion"/>
  </si>
  <si>
    <t xml:space="preserve">零售数量 </t>
    <phoneticPr fontId="1" type="noConversion"/>
  </si>
  <si>
    <t>数据来源与运算关系</t>
    <phoneticPr fontId="1" type="noConversion"/>
  </si>
  <si>
    <t xml:space="preserve">零售成本 </t>
    <phoneticPr fontId="1" type="noConversion"/>
  </si>
  <si>
    <t xml:space="preserve">未税零售成本 </t>
    <phoneticPr fontId="1" type="noConversion"/>
  </si>
  <si>
    <t>零售金额 </t>
    <phoneticPr fontId="1" type="noConversion"/>
  </si>
  <si>
    <t>零售毛利</t>
    <phoneticPr fontId="1" type="noConversion"/>
  </si>
  <si>
    <t>零售毛利率</t>
    <phoneticPr fontId="1" type="noConversion"/>
  </si>
  <si>
    <t>销售成本</t>
    <phoneticPr fontId="1" type="noConversion"/>
  </si>
  <si>
    <t>销售毛利</t>
    <phoneticPr fontId="1" type="noConversion"/>
  </si>
  <si>
    <t>销售毛利率</t>
    <phoneticPr fontId="1" type="noConversion"/>
  </si>
  <si>
    <t>其它入库数量</t>
    <phoneticPr fontId="1" type="noConversion"/>
  </si>
  <si>
    <t>其它入库金额</t>
    <phoneticPr fontId="1" type="noConversion"/>
  </si>
  <si>
    <t>报损数量</t>
    <phoneticPr fontId="1" type="noConversion"/>
  </si>
  <si>
    <t>报损金额</t>
    <phoneticPr fontId="1" type="noConversion"/>
  </si>
  <si>
    <t>盘点盈亏数量</t>
    <phoneticPr fontId="1" type="noConversion"/>
  </si>
  <si>
    <t>盘点盈亏金额</t>
    <phoneticPr fontId="1" type="noConversion"/>
  </si>
  <si>
    <t>组合数量</t>
    <phoneticPr fontId="1" type="noConversion"/>
  </si>
  <si>
    <t>组合金额</t>
    <phoneticPr fontId="1" type="noConversion"/>
  </si>
  <si>
    <t>结存数量</t>
    <phoneticPr fontId="1" type="noConversion"/>
  </si>
  <si>
    <t>结存金额</t>
    <phoneticPr fontId="1" type="noConversion"/>
  </si>
  <si>
    <t>未税结存金额</t>
    <phoneticPr fontId="1" type="noConversion"/>
  </si>
  <si>
    <t>库存量</t>
    <phoneticPr fontId="1" type="noConversion"/>
  </si>
  <si>
    <t>库存金额</t>
    <phoneticPr fontId="1" type="noConversion"/>
  </si>
  <si>
    <t>销售金额</t>
    <phoneticPr fontId="1" type="noConversion"/>
  </si>
  <si>
    <t>平均售价</t>
    <phoneticPr fontId="1" type="noConversion"/>
  </si>
  <si>
    <t>锁库数量</t>
    <phoneticPr fontId="1" type="noConversion"/>
  </si>
  <si>
    <t>盘点数量</t>
    <phoneticPr fontId="1" type="noConversion"/>
  </si>
  <si>
    <t>盈亏数量</t>
    <phoneticPr fontId="1" type="noConversion"/>
  </si>
  <si>
    <t>系统售价</t>
    <phoneticPr fontId="1" type="noConversion"/>
  </si>
  <si>
    <t>盈亏金额</t>
    <phoneticPr fontId="1" type="noConversion"/>
  </si>
  <si>
    <t>盘点售价金额</t>
    <phoneticPr fontId="1" type="noConversion"/>
  </si>
  <si>
    <t>件数</t>
    <phoneticPr fontId="1" type="noConversion"/>
  </si>
  <si>
    <t>称重</t>
    <phoneticPr fontId="1" type="noConversion"/>
  </si>
  <si>
    <t>销售额</t>
    <phoneticPr fontId="1" type="noConversion"/>
  </si>
  <si>
    <t>优惠额</t>
    <phoneticPr fontId="1" type="noConversion"/>
  </si>
  <si>
    <t>检验结果</t>
    <phoneticPr fontId="1" type="noConversion"/>
  </si>
  <si>
    <t>校验结果</t>
    <phoneticPr fontId="1" type="noConversion"/>
  </si>
  <si>
    <t>解释：截止锁库时间本店的在库数量；
数据源：库存剩余信息表（Inventory）中的剩余库存量（StockNumber）；
运算：锁库数量 = 当前剩余库存量
     锁库时将剩余库存量初始化到 库存盘点（StockTaking）中的当前库存量（LockNumber）</t>
    <phoneticPr fontId="1" type="noConversion"/>
  </si>
  <si>
    <t>解释：线下商品实际盘点数量；
数据源：库存盘点表（StockTaking）中的实盘数量（ActualNumber）；</t>
    <phoneticPr fontId="1" type="noConversion"/>
  </si>
  <si>
    <t>解释：指锁库数量和盘点数量的差异
运算：盘点数量 - 锁库数量 = 盈亏数量</t>
    <phoneticPr fontId="1" type="noConversion"/>
  </si>
  <si>
    <t>解释：从本店调出的商品数量
数据源：
1）调拨配送数量：货品调拨明细信息表（STHouseMoveList）中的配送数量（DeliveryQuantity），
                且状态（State）为 2已配送 和 4已收货；
                且调拨信息表（STHouseMove）中的调出分店（OutStoreId）为本门店；</t>
    <phoneticPr fontId="1" type="noConversion"/>
  </si>
  <si>
    <t>解释：从其他门店调入到本店的商品数量
数据源：
1）调拨收货数量：货品调拨明细信息表（STHouseMoveList）中的收货数量（ActualQuantity），
                且状态（State）为 2已配送 和 4已收货；
                且调拨信息表（STHouseMove）中的调入分店（InStoreId）为本门店；</t>
    <phoneticPr fontId="1" type="noConversion"/>
  </si>
  <si>
    <t>解释：从其他门店调入到本店的商品金额
数据源：
1）调拨系统售价：货品调拨明细信息表（STHouseMoveList）中的系统售价（SysPrice），
                且状态（State）为 2已配送 和 4已收货；
                且调拨信息表（STHouseMove）中的调入分店（InStoreId）为本门店；
运算：店内调入数量 * 调拨系统售价</t>
    <phoneticPr fontId="1" type="noConversion"/>
  </si>
  <si>
    <t>解释：从本部批发给下游商家的商品批发价
数据源：
1）批发价：出库明细信息表（OutboundList）中的批发价（TradePrice），
            且出库单（OutboundGoods）中的状态（State）为1，且渠道（Channel）为1批发；</t>
    <phoneticPr fontId="1" type="noConversion"/>
  </si>
  <si>
    <t>解释：从本部批发给下游商家的商品批发成本
数据源：
1）入库成本：出库明细信息表（OutboundList）中的进价（BuyPrice），
            且出库单（OutboundGoods）中的状态（State）为1，且渠道（Channel）为1批发；</t>
    <phoneticPr fontId="1" type="noConversion"/>
  </si>
  <si>
    <t>解释：指盘点数量是大于或小于锁库数量的商品可售价值
运算：盘点数量 * 系统售价 = 盘点售价金额</t>
    <phoneticPr fontId="1" type="noConversion"/>
  </si>
  <si>
    <t>解释：指从本部批发给下游商家的商品毛利润
运算：批发销售金额 - 批发销售成本 = 批发毛利</t>
    <phoneticPr fontId="1" type="noConversion"/>
  </si>
  <si>
    <t>解释：指商品销售实际平均金额（不含赠品）
数据源：
1）销售数量：销售明细信息表（SaleDetail）中的购买数量（PurchaseNumber）
2）销售总额：销售单信息表（SaleOrders）中的金额合计（TotalAmount）
运算：销售总额 / 销售数量 = 平均售价</t>
    <phoneticPr fontId="1" type="noConversion"/>
  </si>
  <si>
    <t>解释：指商品销售的实际金额
数据源：
1）交易单价：销售明细信息表（SaleDetail）中的交易价（ActualPrice）
运算：销售数量 * 交易单价</t>
    <phoneticPr fontId="1" type="noConversion"/>
  </si>
  <si>
    <t>解释：从门店销售（POS收银系统）出去的商品金额
数据源：
1）交易单价：销售明细信息表（SaleDetail）中的交易价（ActualPrice）
运算：零售数量 * 交易单价 = 零售金额</t>
    <phoneticPr fontId="1" type="noConversion"/>
  </si>
  <si>
    <t>解释：从门店销售（POS收银系统）出去的商品进价成本
数据源：
1）系统进价：销售明细信息表（SaleDetail）中的进价（BuyPrice）
运算：零售数量 * 系统进价 = 零售成本</t>
    <phoneticPr fontId="1" type="noConversion"/>
  </si>
  <si>
    <t>解释：从门店销售（POS收银系统）出去的商品零售毛利润
运算：零售金额 - 零售成本 = 零售毛利</t>
    <phoneticPr fontId="1" type="noConversion"/>
  </si>
  <si>
    <t>运算：零售毛利 / 零售金额 = 零售毛利率</t>
    <phoneticPr fontId="1" type="noConversion"/>
  </si>
  <si>
    <t>解释：通常成本是含税的，未税就是扣掉相应商品的进项税点
数据源：
1）进项税率：产品档案信息表（ProductRecord）中的进项税率（StockRate）
运算：零售成本 /（1 + 进项税率）= 未税零售成本</t>
    <phoneticPr fontId="1" type="noConversion"/>
  </si>
  <si>
    <t>解释：指盘点数量是大于或小于锁库数量的商品成本价值
取价优先级：产品变价（现进价） &gt; 一品多价（进价） &gt; 产品档案（系统进价）
运算：盈亏数量 * 系统进价 = 盘点盈亏金额</t>
    <phoneticPr fontId="1" type="noConversion"/>
  </si>
  <si>
    <t>抹零金额</t>
    <phoneticPr fontId="1" type="noConversion"/>
  </si>
  <si>
    <t>拆分数量</t>
    <phoneticPr fontId="1" type="noConversion"/>
  </si>
  <si>
    <t>拆分金额</t>
    <phoneticPr fontId="1" type="noConversion"/>
  </si>
  <si>
    <t>解释：退货给供应商的商品数量
数据源：
1）采购退货数量：采购退换信息表（OrderReturns）中的退换数量（ReturnNum），
                且方式（ReturnType）为0退货，且状态（State）为（1处理中、2已完成）（不考虑供应商是否已登录处理）；
2）退货登记数量：采购（外部）退货明细信息表（CommodityReturnsDetail）中的退货数量（ReturnNum），
                且状态（State）为2已处理。（从库存管理模块中退货登记）；
运算：采购退货数量 + 退货登记数量 = 采购退货数量</t>
    <phoneticPr fontId="1" type="noConversion"/>
  </si>
  <si>
    <t>解释：退货给供应商的商品金额
数据源：
1）采购退货金额：采购明细信息表（IndentOrderList）中的单价（Price），
                且订货退换信息表（OrderReturns）中的方式（ReturnType）为0退货，
                且状态（State）为1处理中（不考虑供应商是否已处理）；
2）退货登记进价：采购（外部）退货明细信息表（CommodityReturnsDetail）中的进价（BuyPrice），
                且状态（State）为2已处理。（从库存管理模块中退货登记）；
运算：采购退货金额 + 退货登记金额 = 采购退货金额</t>
    <phoneticPr fontId="1" type="noConversion"/>
  </si>
  <si>
    <t>解释：从本部批发给下游商家的商品数量
数据源：
1）批发数量：出库明细信息表（OutboundList）中的出库数量（OutboundNumber），
            且出库单（OutboundGoods）中的状态（State）为1，且渠道（Channel）为1批发；</t>
    <phoneticPr fontId="1" type="noConversion"/>
  </si>
  <si>
    <t>解释：从本店调出的商品金额
数据源：
1）调拨系统售价：货品调拨明细信息表（STHouseMoveList）中的系统售价（SysPrice），
                且状态（State）为 2已配送 和 4已收货；
                且调拨信息表（STHouseMove）中的调出分店（OutStoreId）为本门店；
运算：店内调出数量 * 调拨系统售价 = 店内调出金额</t>
    <phoneticPr fontId="1" type="noConversion"/>
  </si>
  <si>
    <t>解释：指扣掉结存商品的进项税点，即未税结存金额
数据源：
1）进项税率：产品档案信息表（ProductRecord）中的进项税率（StockRate）
运算：结存金额 /（1 + 进项税率）= 未税结存金额</t>
    <phoneticPr fontId="1" type="noConversion"/>
  </si>
  <si>
    <t>解释：指期末商品库存的结存数量
数据源：库存量</t>
    <phoneticPr fontId="1" type="noConversion"/>
  </si>
  <si>
    <t>解释：指期末商品库存的结存进价金额
数据源：
1）进价金额：产品档案信息表（ProductRecord）中的进价（BuyPrice）
2）取价优先级：产品变价（现进价） &gt; 一品多商（进价） &gt;  产品档案（进价）
运算：结存数量 * 进价金额 = 结存金额</t>
    <phoneticPr fontId="1" type="noConversion"/>
  </si>
  <si>
    <t>解释：指拆分后子商品的剩余库存数量
数据源：
1）结余数量：库存结余信息表（InventoryBalance）中的结余数量（Number）；</t>
    <phoneticPr fontId="1" type="noConversion"/>
  </si>
  <si>
    <t>解释：指拆分后子商品的库存金额
数据源：
1）进价金额：产品档案信息表（ProductRecord）中的进价（BuyPrice）
2）取价优先级：产品变价（现进价） &gt; 一品多商（进价） &gt;  产品档案（进价）
运算：拆分数量 * 进价金额 = 拆分金额</t>
    <phoneticPr fontId="1" type="noConversion"/>
  </si>
  <si>
    <t>解释：指盘点数量是大于或小于锁库数量的商品成本价值
取价优先级：产品变价（现进价） &gt; 一品多价（进价） &gt; 产品档案（系统进价）
运算：盈亏数量 * 系统进价 = 盈亏金额</t>
    <phoneticPr fontId="1" type="noConversion"/>
  </si>
  <si>
    <t>解释：指在库商品的价值
数据源：
1）进价金额：产品档案信息表（ProductRecord）中的进价（BuyPrice）
2）取价优先级：产品变价（现进价） &gt; 一品多商（进价） &gt;  产品档案（进价）
运算：库存量 * 进价金额 = 库存金额</t>
    <phoneticPr fontId="1" type="noConversion"/>
  </si>
  <si>
    <t>解释：所有采购赠送的商品进价金额
数据源：
1）进价金额：产品档案信息表（ProductRecord）中的进价（BuyPrice）
运算：赠送入库数量 * 进价金额 = 赠送入库金额</t>
    <phoneticPr fontId="1" type="noConversion"/>
  </si>
  <si>
    <t>解释：指商品出、入库的报损登记数量
数据源：
1）报损数量：报损单明细信息（BreakageList）中的报损数量（BreakageNumber），
            且状态（State）为1已审核。</t>
    <phoneticPr fontId="1" type="noConversion"/>
  </si>
  <si>
    <t>解释：指在库商品数量
数据源：库存变化记录（InventoryRecord）中的数量（Number）
1）入库量（采购收货量 + 入库登记量）：对应标识（1、3、5、7、11）
2）出库量（出库登记 + 批发登记 + 门店销售量）：对应标识（2、4、6、8、12）
3）报损量（报损登记）：
   报损单明细信息（BreakageList）中的报损数量（BreakageNumber），且状态（State）为1已审核。
运算：入库量 - 出库量 - 报损量 = 库存量（盘点前运算）
      库存量（盘点前运算）- 盘亏数量 + 盘盈数量 = 库存量（人工纠正后的数量）</t>
    <phoneticPr fontId="1" type="noConversion"/>
  </si>
  <si>
    <t>采购入库数</t>
    <phoneticPr fontId="1" type="noConversion"/>
  </si>
  <si>
    <t>解释：所有采购商品所赠送的入库量
数据源：
1）赠送收货数量：采购配送信息表（IndentOrderList）中的收货数量（AcceptNum），
                且性质（Nature）为1赠品，且状态（State）为5已收货；
2）入库登记赠送数量：入库明细表（InboundList）中的入库数量（InboundNumber），
                且 IsGift 为1赠品，且状态（State）为1已验。
运算：赠送收货数量 + 入库登记赠品数量 = 赠送入库数量</t>
    <phoneticPr fontId="1" type="noConversion"/>
  </si>
  <si>
    <t>解释：指门店POS端销售交易单中的计件商品件数
数据源：
1）购买数量：销售明细信息（SaleDetail）中的购买数量（PurchaseNumber），
            且该商品条码在产品档案信息（ProductRecord）中的计价方式（ValuationType）为1计件；</t>
    <phoneticPr fontId="1" type="noConversion"/>
  </si>
  <si>
    <t>解释：指门店POS端销售交易单中的称重商品件数
数据源：
1）购买数量：销售明细信息（SaleDetail）中的购买数量（PurchaseNumber），
            且该商品条码在产品档案信息（ProductRecord）中的计价方式（ValuationType）为2称重；</t>
    <phoneticPr fontId="1" type="noConversion"/>
  </si>
  <si>
    <t>解释：指门店POS端销售交易单中的金额合计（优惠后）
数据源：
1）金额合计：销售单信息（SaleOrders）中的金额合计（TotalAmount）；</t>
    <phoneticPr fontId="1" type="noConversion"/>
  </si>
  <si>
    <t>解释：指门店POS端销售交易单中优惠合计（已优惠让利的钱）
数据源：
1）优惠合计：销售单信息（SaleOrders）中的优惠合计（PreferentialPrice）；</t>
    <phoneticPr fontId="1" type="noConversion"/>
  </si>
  <si>
    <t>解释：指门店POS端销售交易单中的应收金额系统自动抹掉的零钱（如：50.04元，系统四舍五入为50元，抹掉0.04的钱）
数据源：
1）抹零金额：销售抹零信息表（WipeZero）中的抹零金额（Number）；</t>
    <phoneticPr fontId="1" type="noConversion"/>
  </si>
  <si>
    <t>解释：该商品截止锁库时间的系统售价
取价优先级：促销价 &gt; 产品变价（现售价） &gt; 一品多价（售价） &gt; 产品档案（系统售价）</t>
    <phoneticPr fontId="1" type="noConversion"/>
  </si>
  <si>
    <t>运算：批发毛利 / 批发销售金额 = 批发毛利率</t>
    <phoneticPr fontId="1" type="noConversion"/>
  </si>
  <si>
    <t>解释：从门店销售（POS收银系统）出去的商品数量
数据源：
1）销售数量：销售明细信息表（SaleDetail）中的购买数量（PurchaseNumber）
运算：销售量 - 退货量 + 赠送量</t>
    <phoneticPr fontId="1" type="noConversion"/>
  </si>
  <si>
    <t>解释：所有零售、批发的商品成本
运算：零售成本 + 批发成本 = 销售成本</t>
    <phoneticPr fontId="1" type="noConversion"/>
  </si>
  <si>
    <t>解释：指锁库数量和盘点数量的差异
运算：盘点数量 - 锁库数量 = 盘点盈亏数量</t>
    <phoneticPr fontId="1" type="noConversion"/>
  </si>
  <si>
    <t>解释：指销售出去的组合商品金额
数据源：
1）销售金额：销售明细信息表（SaleDetail）中的交易价（ActualPrice），
            且销售库存消减记录（SaleInventoryHistory）中的模式（Mode）为3组合商品，
            且交易流水号（PaySN）等于销售明细中的流水号，
            且销售条码等于销售明细中的商品条码；
运算：组合数量 * 销售金额 = 组合金额</t>
    <phoneticPr fontId="1" type="noConversion"/>
  </si>
  <si>
    <r>
      <t>解释：指销售出去的组合商品数量（系统在销售过程会自动组合</t>
    </r>
    <r>
      <rPr>
        <sz val="10"/>
        <color theme="1"/>
        <rFont val="宋体"/>
        <family val="2"/>
        <charset val="134"/>
        <scheme val="minor"/>
      </rPr>
      <t>，因此不会存在库存）
数据源：
1）销售数量：销售明细信息表（SaleDetail）中的购买数量（PurchaseNumber），
            且销售库存消减记录（SaleInventoryHistory）中的模式（Mode）为3组合商品，
            且交易流水号（PaySN）等于销售明细中的流水号；</t>
    </r>
    <phoneticPr fontId="1" type="noConversion"/>
  </si>
  <si>
    <t>解释：指商品出、入库的报损登记时系统自动计算的报损金额
数据源：
1）报损价：报损单明细信息（BreakageList）中的报损价（BreakagePrice），
          且状态（State）为1已审核。
运算：报损数量 * 平均进价 = 报损金额</t>
    <phoneticPr fontId="1" type="noConversion"/>
  </si>
  <si>
    <t>解释：指通过（本后台系统下的）采购订单入库数量（不含赠品）
数据源：
1）线上采购收货数量：采购配送信息表（IndentOrderList）中的收货数量（AcceptNum），
                且状态（State）为5已收货；
                （由门店系统确认收货数量）
2）线下正常入库数量：入库单信息表（InboundGoods）中入库方式（InboundType）为2其他，
                且状态（State）为1已验，且入库明细表（InboundList）的状态（State）为1已验，得到入库数量（InboundNumber）；
                 （从库存管理入库登记）
运算：线上采购收货数量 + 线下正常入库数量 = 采购入库数量</t>
    <phoneticPr fontId="1" type="noConversion"/>
  </si>
  <si>
    <t>解释：指通过（本后台系统下的）采购订单的入库商品进价金额（不含赠品）
数据源：
1）线上采购收货入库价：采购配送信息表（IndentOrderList）中的单价（Price），
                  且状态（State）为5已收货。
2）线下正常入库金额：入库单信息表（InboundGoods）中入库方式（InboundType）为2其他，
                且状态（State）为1已验，且入库明细表（InboundList）的状态（State）为1已验，得到入库价（BuyPrice）；
                 （从库存管理入库登记）
运算：线上采购收货入库价 + 线下正常入库金额 = 采购入库金额</t>
    <phoneticPr fontId="1" type="noConversion"/>
  </si>
  <si>
    <t>解释：指通过（系统外部）采购的其他方式入库数量（含赠品）
数据源：
1）线下其他入库数量：入库单信息表（InboundGoods）中入库方式（InboundType）为2其他，
                且状态（State）为1已验，且入库明细表（InboundList）的状态（State）为1已验，得到入库数量（InboundNumber）；
                 （从库存管理入库登记）
运算：线下其他入库数量 = 其他入库数量</t>
    <phoneticPr fontId="1" type="noConversion"/>
  </si>
  <si>
    <t>解释：指通过（系统外部）采购的其他方式入库商品进价金额（含赠品）
数据源：
1）线下其他入库价：入库单信息表（InboundGoods）中入库方式（InboundType）为2其他，
                且状态（State）为1已验，且入库明细表（InboundList）的状态（State）为1已验，得到入库价（BuyPrice）；
                 （从库存管理入库登记）
运算：线下其他入库价 * 入库数量 = 其他入库金额</t>
    <phoneticPr fontId="1" type="noConversion"/>
  </si>
  <si>
    <t>解释：指通过（本后台系统下）的其他方式出库登记商品数量。
数据源：
1）出库数量：出库明细信息表（OutboundList）中的出库数量（OutboundNumber），
            且出库单（OutboundGoods）中出库方式（OutboundType）为2其他，
            且状态（State）为1已审核，且渠道（Channel）为0门店；</t>
    <phoneticPr fontId="1" type="noConversion"/>
  </si>
  <si>
    <t>解释：指通过（本后台系统下）的其他方式出库登记商品金额。
数据源：
1）出库价：出库明细信息表（OutboundList）中的出库价（OutPrice），
          且出库单（OutboundGoods）中出库方式（OutboundType）为2其他，
          且状态（State）为1已审核，且渠道（Channel）为0门店；
运算：其他出库数量 * 出库价 = 其它出库金额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</si>
</sst>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theme="1"/>
      <name val="宋体"/>
      <family val="2"/>
      <charset val="134"/>
      <scheme val="minor"/>
    </font>
    <font>
      <sz val="11"/>
      <color theme="1"/>
      <name val="微软雅黑"/>
      <family val="2"/>
      <charset val="134"/>
    </font>
    <font>
      <sz val="10"/>
      <color rgb="FFFF000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9"/>
      <color rgb="FF000000"/>
      <name val="宋体"/>
      <family val="3"/>
      <charset val="134"/>
    </font>
    <font>
      <sz val="10"/>
      <name val="宋体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7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zoomScale="90" zoomScaleNormal="90" workbookViewId="0">
      <pane ySplit="1" topLeftCell="A2" activePane="bottomLeft" state="frozen"/>
      <selection pane="bottomLeft" activeCell="G2" sqref="G2"/>
    </sheetView>
  </sheetViews>
  <sheetFormatPr defaultRowHeight="13.5" x14ac:dyDescent="0.15"/>
  <cols>
    <col min="1" max="1" width="12.5" style="6" customWidth="1"/>
    <col min="2" max="2" width="14.875" style="3" customWidth="1"/>
    <col min="3" max="3" width="70.5" style="3" customWidth="1"/>
    <col min="4" max="4" width="11.125" style="6" customWidth="1"/>
    <col min="5" max="7" width="15.625" customWidth="1"/>
  </cols>
  <sheetData>
    <row r="1" spans="1:7" ht="24.95" customHeight="1" x14ac:dyDescent="0.15">
      <c r="A1" s="8" t="s">
        <v>8</v>
      </c>
      <c r="B1" s="8" t="s">
        <v>7</v>
      </c>
      <c r="C1" s="8" t="s">
        <v>2</v>
      </c>
      <c r="D1" s="8" t="s">
        <v>1</v>
      </c>
    </row>
    <row r="2" spans="1:7" ht="409.5" customHeight="1" x14ac:dyDescent="0.15">
      <c r="A2" s="9" t="s">
        <v>0</v>
      </c>
      <c r="B2" s="10" t="s">
        <v>26</v>
      </c>
      <c r="C2" s="10" t="s">
        <v>33</v>
      </c>
      <c r="D2" s="11" t="s">
        <v>27</v>
      </c>
      <c r="E2" s="1"/>
      <c r="F2" s="1"/>
      <c r="G2" s="1"/>
    </row>
    <row r="3" spans="1:7" ht="80.099999999999994" customHeight="1" x14ac:dyDescent="0.15">
      <c r="A3" s="9" t="s">
        <v>10</v>
      </c>
      <c r="B3" s="12" t="s">
        <v>28</v>
      </c>
      <c r="C3" s="10" t="s">
        <v>30</v>
      </c>
      <c r="D3" s="11" t="s">
        <v>27</v>
      </c>
      <c r="E3" s="1"/>
      <c r="F3" s="1"/>
      <c r="G3" s="1"/>
    </row>
    <row r="4" spans="1:7" ht="45" customHeight="1" x14ac:dyDescent="0.15">
      <c r="A4" s="9" t="s">
        <v>3</v>
      </c>
      <c r="B4" s="12" t="s">
        <v>9</v>
      </c>
      <c r="C4" s="10" t="s">
        <v>31</v>
      </c>
      <c r="D4" s="11" t="s">
        <v>27</v>
      </c>
      <c r="E4" s="1"/>
      <c r="F4" s="1"/>
      <c r="G4" s="1"/>
    </row>
    <row r="5" spans="1:7" ht="45" customHeight="1" x14ac:dyDescent="0.15">
      <c r="A5" s="9" t="s">
        <v>4</v>
      </c>
      <c r="B5" s="12" t="s">
        <v>9</v>
      </c>
      <c r="C5" s="10" t="s">
        <v>32</v>
      </c>
      <c r="D5" s="11" t="s">
        <v>27</v>
      </c>
      <c r="E5" s="1"/>
      <c r="F5" s="1"/>
      <c r="G5" s="1"/>
    </row>
    <row r="6" spans="1:7" ht="45" customHeight="1" x14ac:dyDescent="0.15">
      <c r="A6" s="9" t="s">
        <v>6</v>
      </c>
      <c r="B6" s="12" t="s">
        <v>9</v>
      </c>
      <c r="C6" s="10" t="s">
        <v>19</v>
      </c>
      <c r="D6" s="11" t="s">
        <v>27</v>
      </c>
      <c r="E6" s="1"/>
      <c r="F6" s="1"/>
      <c r="G6" s="1"/>
    </row>
    <row r="7" spans="1:7" ht="45" customHeight="1" x14ac:dyDescent="0.15">
      <c r="A7" s="9" t="s">
        <v>5</v>
      </c>
      <c r="B7" s="12" t="s">
        <v>9</v>
      </c>
      <c r="C7" s="10" t="s">
        <v>20</v>
      </c>
      <c r="D7" s="11" t="s">
        <v>27</v>
      </c>
      <c r="E7" s="1"/>
      <c r="F7" s="1"/>
      <c r="G7" s="1"/>
    </row>
    <row r="8" spans="1:7" ht="45" customHeight="1" x14ac:dyDescent="0.15">
      <c r="A8" s="4"/>
      <c r="B8" s="2"/>
      <c r="C8" s="2"/>
      <c r="D8" s="5"/>
      <c r="E8" s="1"/>
      <c r="F8" s="1"/>
      <c r="G8" s="1"/>
    </row>
    <row r="9" spans="1:7" ht="24.95" customHeight="1" x14ac:dyDescent="0.15">
      <c r="A9" s="5"/>
      <c r="B9" s="2"/>
      <c r="C9" s="2"/>
      <c r="D9" s="5"/>
      <c r="E9" s="1"/>
      <c r="F9" s="1"/>
      <c r="G9" s="1"/>
    </row>
    <row r="10" spans="1:7" ht="24.95" customHeight="1" x14ac:dyDescent="0.15">
      <c r="A10" s="5"/>
      <c r="B10" s="2"/>
      <c r="C10" s="2"/>
      <c r="D10" s="5"/>
      <c r="E10" s="1"/>
      <c r="F10" s="1"/>
      <c r="G10" s="1"/>
    </row>
    <row r="11" spans="1:7" ht="24.95" customHeight="1" x14ac:dyDescent="0.15">
      <c r="A11" s="5"/>
      <c r="B11" s="2"/>
      <c r="C11" s="2"/>
      <c r="D11" s="5"/>
      <c r="E11" s="1"/>
      <c r="F11" s="1"/>
      <c r="G11" s="1"/>
    </row>
    <row r="12" spans="1:7" ht="24.95" customHeight="1" x14ac:dyDescent="0.15">
      <c r="A12" s="5"/>
      <c r="B12" s="2"/>
      <c r="C12" s="2"/>
      <c r="D12" s="5"/>
      <c r="E12" s="1"/>
      <c r="F12" s="1"/>
      <c r="G12" s="1"/>
    </row>
    <row r="13" spans="1:7" ht="24.95" customHeight="1" x14ac:dyDescent="0.15">
      <c r="A13" s="5"/>
      <c r="B13" s="2"/>
      <c r="C13" s="2"/>
      <c r="D13" s="5"/>
      <c r="E13" s="1"/>
      <c r="F13" s="1"/>
      <c r="G13" s="1"/>
    </row>
    <row r="14" spans="1:7" ht="24.95" customHeight="1" x14ac:dyDescent="0.15">
      <c r="A14" s="5"/>
      <c r="B14" s="2"/>
      <c r="C14" s="2"/>
      <c r="D14" s="5"/>
      <c r="E14" s="1"/>
      <c r="F14" s="1"/>
      <c r="G14" s="1"/>
    </row>
    <row r="15" spans="1:7" ht="24.95" customHeight="1" x14ac:dyDescent="0.15">
      <c r="A15" s="5"/>
      <c r="B15" s="2"/>
      <c r="C15" s="2"/>
      <c r="D15" s="5"/>
      <c r="E15" s="1"/>
      <c r="F15" s="1"/>
      <c r="G15" s="1"/>
    </row>
    <row r="16" spans="1:7" ht="24.95" customHeight="1" x14ac:dyDescent="0.15">
      <c r="A16" s="5"/>
      <c r="B16" s="2"/>
      <c r="C16" s="2"/>
      <c r="D16" s="5"/>
      <c r="E16" s="1"/>
      <c r="F16" s="1"/>
      <c r="G16" s="1"/>
    </row>
    <row r="17" spans="1:7" ht="24.95" customHeight="1" x14ac:dyDescent="0.15">
      <c r="A17" s="5"/>
      <c r="B17" s="2"/>
      <c r="C17" s="2"/>
      <c r="D17" s="5"/>
      <c r="E17" s="1"/>
      <c r="F17" s="1"/>
      <c r="G17" s="1"/>
    </row>
    <row r="18" spans="1:7" ht="24.95" customHeight="1" x14ac:dyDescent="0.15">
      <c r="A18" s="5"/>
      <c r="B18" s="2"/>
      <c r="C18" s="2"/>
      <c r="D18" s="5"/>
      <c r="E18" s="1"/>
      <c r="F18" s="1"/>
      <c r="G18" s="1"/>
    </row>
    <row r="19" spans="1:7" ht="24.95" customHeight="1" x14ac:dyDescent="0.15">
      <c r="A19" s="5"/>
      <c r="B19" s="2"/>
      <c r="C19" s="2"/>
      <c r="D19" s="5"/>
      <c r="E19" s="1"/>
      <c r="F19" s="1"/>
      <c r="G19" s="1"/>
    </row>
    <row r="20" spans="1:7" ht="24.95" customHeight="1" x14ac:dyDescent="0.15">
      <c r="A20" s="5"/>
      <c r="B20" s="2"/>
      <c r="C20" s="2"/>
      <c r="D20" s="5"/>
      <c r="E20" s="1"/>
      <c r="F20" s="1"/>
      <c r="G20" s="1"/>
    </row>
    <row r="21" spans="1:7" ht="24.95" customHeight="1" x14ac:dyDescent="0.15">
      <c r="A21" s="5"/>
      <c r="B21" s="2"/>
      <c r="C21" s="2"/>
      <c r="D21" s="5"/>
      <c r="E21" s="1"/>
      <c r="F21" s="1"/>
      <c r="G21" s="1"/>
    </row>
    <row r="22" spans="1:7" x14ac:dyDescent="0.15">
      <c r="A22" s="5"/>
      <c r="B22" s="2"/>
      <c r="C22" s="2"/>
      <c r="D22" s="5"/>
      <c r="E22" s="1"/>
      <c r="F22" s="1"/>
      <c r="G22" s="1"/>
    </row>
  </sheetData>
  <phoneticPr fontId="1" type="noConversion"/>
  <dataValidations count="1">
    <dataValidation type="list" allowBlank="1" showInputMessage="1" showErrorMessage="1" sqref="D2:D1048576">
      <formula1>"未写完,待检测,检测中,已通过,存在问题,已关闭"</formula1>
    </dataValidation>
  </dataValidations>
  <pageMargins left="0.39370078740157483" right="0.39370078740157483" top="0.39370078740157483" bottom="0.39370078740157483" header="0.31496062992125984" footer="0.31496062992125984"/>
  <pageSetup paperSize="9" orientation="landscape" horizont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pane ySplit="1" topLeftCell="A2" activePane="bottomLeft" state="frozen"/>
      <selection pane="bottomLeft" activeCell="E4" sqref="E4"/>
    </sheetView>
  </sheetViews>
  <sheetFormatPr defaultRowHeight="13.5" x14ac:dyDescent="0.15"/>
  <cols>
    <col min="1" max="1" width="14.375" style="6" customWidth="1"/>
    <col min="2" max="2" width="22.25" style="3" customWidth="1"/>
    <col min="3" max="3" width="61.125" style="3" customWidth="1"/>
    <col min="4" max="4" width="11.5" style="6" customWidth="1"/>
    <col min="5" max="7" width="15.625" customWidth="1"/>
  </cols>
  <sheetData>
    <row r="1" spans="1:7" ht="24.95" customHeight="1" x14ac:dyDescent="0.15">
      <c r="A1" s="8" t="s">
        <v>11</v>
      </c>
      <c r="B1" s="8" t="s">
        <v>12</v>
      </c>
      <c r="C1" s="8" t="s">
        <v>2</v>
      </c>
      <c r="D1" s="8" t="s">
        <v>87</v>
      </c>
    </row>
    <row r="2" spans="1:7" ht="99.95" customHeight="1" x14ac:dyDescent="0.15">
      <c r="A2" s="9" t="s">
        <v>14</v>
      </c>
      <c r="B2" s="10" t="s">
        <v>16</v>
      </c>
      <c r="C2" s="10" t="s">
        <v>29</v>
      </c>
      <c r="D2" s="11" t="s">
        <v>21</v>
      </c>
      <c r="E2" s="7" t="s">
        <v>22</v>
      </c>
      <c r="F2" s="1"/>
      <c r="G2" s="1"/>
    </row>
    <row r="3" spans="1:7" ht="126.75" customHeight="1" x14ac:dyDescent="0.15">
      <c r="A3" s="9" t="s">
        <v>13</v>
      </c>
      <c r="B3" s="10" t="s">
        <v>15</v>
      </c>
      <c r="C3" s="10" t="s">
        <v>23</v>
      </c>
      <c r="D3" s="11" t="s">
        <v>24</v>
      </c>
      <c r="E3" s="1"/>
      <c r="F3" s="1"/>
      <c r="G3" s="1"/>
    </row>
    <row r="4" spans="1:7" ht="99.95" customHeight="1" x14ac:dyDescent="0.15">
      <c r="A4" s="9" t="s">
        <v>17</v>
      </c>
      <c r="B4" s="10" t="s">
        <v>18</v>
      </c>
      <c r="C4" s="10" t="s">
        <v>25</v>
      </c>
      <c r="D4" s="11" t="s">
        <v>24</v>
      </c>
      <c r="E4" s="1"/>
      <c r="F4" s="1"/>
      <c r="G4" s="1"/>
    </row>
    <row r="5" spans="1:7" ht="99.95" customHeight="1" x14ac:dyDescent="0.15">
      <c r="A5" s="4"/>
      <c r="B5" s="2"/>
      <c r="C5" s="2"/>
      <c r="D5" s="5"/>
      <c r="E5" s="1"/>
      <c r="F5" s="1"/>
      <c r="G5" s="1"/>
    </row>
    <row r="6" spans="1:7" ht="99.95" customHeight="1" x14ac:dyDescent="0.15">
      <c r="A6" s="4"/>
      <c r="B6" s="2"/>
      <c r="C6" s="2"/>
      <c r="D6" s="5"/>
      <c r="E6" s="1"/>
      <c r="F6" s="1"/>
      <c r="G6" s="1"/>
    </row>
    <row r="7" spans="1:7" ht="99.95" customHeight="1" x14ac:dyDescent="0.15">
      <c r="A7" s="4"/>
      <c r="B7" s="2"/>
      <c r="C7" s="2"/>
      <c r="D7" s="5"/>
      <c r="E7" s="1"/>
      <c r="F7" s="1"/>
      <c r="G7" s="1"/>
    </row>
    <row r="8" spans="1:7" ht="45" customHeight="1" x14ac:dyDescent="0.15">
      <c r="A8" s="4"/>
      <c r="B8" s="2"/>
      <c r="C8" s="2"/>
      <c r="D8" s="5"/>
      <c r="E8" s="1"/>
      <c r="F8" s="1"/>
      <c r="G8" s="1"/>
    </row>
    <row r="9" spans="1:7" ht="24.95" customHeight="1" x14ac:dyDescent="0.15">
      <c r="A9" s="5"/>
      <c r="B9" s="2"/>
      <c r="C9" s="2"/>
      <c r="D9" s="5"/>
      <c r="E9" s="1"/>
      <c r="F9" s="1"/>
      <c r="G9" s="1"/>
    </row>
    <row r="10" spans="1:7" ht="24.95" customHeight="1" x14ac:dyDescent="0.15">
      <c r="A10" s="5"/>
      <c r="B10" s="2"/>
      <c r="C10" s="2"/>
      <c r="D10" s="5"/>
      <c r="E10" s="1"/>
      <c r="F10" s="1"/>
      <c r="G10" s="1"/>
    </row>
    <row r="11" spans="1:7" ht="24.95" customHeight="1" x14ac:dyDescent="0.15">
      <c r="A11" s="5"/>
      <c r="B11" s="2"/>
      <c r="C11" s="2"/>
      <c r="D11" s="5"/>
      <c r="E11" s="1"/>
      <c r="F11" s="1"/>
      <c r="G11" s="1"/>
    </row>
    <row r="12" spans="1:7" ht="24.95" customHeight="1" x14ac:dyDescent="0.15">
      <c r="A12" s="5"/>
      <c r="B12" s="2"/>
      <c r="C12" s="2"/>
      <c r="D12" s="5"/>
      <c r="E12" s="1"/>
      <c r="F12" s="1"/>
      <c r="G12" s="1"/>
    </row>
    <row r="13" spans="1:7" ht="24.95" customHeight="1" x14ac:dyDescent="0.15">
      <c r="A13" s="5"/>
      <c r="B13" s="2"/>
      <c r="C13" s="2"/>
      <c r="D13" s="5"/>
      <c r="E13" s="1"/>
      <c r="F13" s="1"/>
      <c r="G13" s="1"/>
    </row>
    <row r="14" spans="1:7" ht="24.95" customHeight="1" x14ac:dyDescent="0.15">
      <c r="A14" s="5"/>
      <c r="B14" s="2"/>
      <c r="C14" s="2"/>
      <c r="D14" s="5"/>
      <c r="E14" s="1"/>
      <c r="F14" s="1"/>
      <c r="G14" s="1"/>
    </row>
    <row r="15" spans="1:7" ht="24.95" customHeight="1" x14ac:dyDescent="0.15">
      <c r="A15" s="5"/>
      <c r="B15" s="2"/>
      <c r="C15" s="2"/>
      <c r="D15" s="5"/>
      <c r="E15" s="1"/>
      <c r="F15" s="1"/>
      <c r="G15" s="1"/>
    </row>
    <row r="16" spans="1:7" ht="24.95" customHeight="1" x14ac:dyDescent="0.15">
      <c r="A16" s="5"/>
      <c r="B16" s="2"/>
      <c r="C16" s="2"/>
      <c r="D16" s="5"/>
      <c r="E16" s="1"/>
      <c r="F16" s="1"/>
      <c r="G16" s="1"/>
    </row>
    <row r="17" spans="1:7" ht="24.95" customHeight="1" x14ac:dyDescent="0.15">
      <c r="A17" s="5"/>
      <c r="B17" s="2"/>
      <c r="C17" s="2"/>
      <c r="D17" s="5"/>
      <c r="E17" s="1"/>
      <c r="F17" s="1"/>
      <c r="G17" s="1"/>
    </row>
    <row r="18" spans="1:7" ht="24.95" customHeight="1" x14ac:dyDescent="0.15">
      <c r="A18" s="5"/>
      <c r="B18" s="2"/>
      <c r="C18" s="2"/>
      <c r="D18" s="5"/>
      <c r="E18" s="1"/>
      <c r="F18" s="1"/>
      <c r="G18" s="1"/>
    </row>
    <row r="19" spans="1:7" ht="24.95" customHeight="1" x14ac:dyDescent="0.15">
      <c r="A19" s="5"/>
      <c r="B19" s="2"/>
      <c r="C19" s="2"/>
      <c r="D19" s="5"/>
      <c r="E19" s="1"/>
      <c r="F19" s="1"/>
      <c r="G19" s="1"/>
    </row>
    <row r="20" spans="1:7" ht="24.95" customHeight="1" x14ac:dyDescent="0.15">
      <c r="A20" s="5"/>
      <c r="B20" s="2"/>
      <c r="C20" s="2"/>
      <c r="D20" s="5"/>
      <c r="E20" s="1"/>
      <c r="F20" s="1"/>
      <c r="G20" s="1"/>
    </row>
    <row r="21" spans="1:7" ht="24.95" customHeight="1" x14ac:dyDescent="0.15">
      <c r="A21" s="5"/>
      <c r="B21" s="2"/>
      <c r="C21" s="2"/>
      <c r="D21" s="5"/>
      <c r="E21" s="1"/>
      <c r="F21" s="1"/>
      <c r="G21" s="1"/>
    </row>
    <row r="22" spans="1:7" x14ac:dyDescent="0.15">
      <c r="A22" s="5"/>
      <c r="B22" s="2"/>
      <c r="C22" s="2"/>
      <c r="D22" s="5"/>
      <c r="E22" s="1"/>
      <c r="F22" s="1"/>
      <c r="G22" s="1"/>
    </row>
  </sheetData>
  <phoneticPr fontId="1" type="noConversion"/>
  <dataValidations count="1">
    <dataValidation type="list" allowBlank="1" showInputMessage="1" showErrorMessage="1" sqref="D2:D1048576">
      <formula1>"未写完,待检测,检测中,已通过,存在问题,已关闭"</formula1>
    </dataValidation>
  </dataValidations>
  <pageMargins left="0.70866141732283472" right="0.70866141732283472" top="0.74803149606299213" bottom="0.74803149606299213" header="0.31496062992125984" footer="0.31496062992125984"/>
  <pageSetup paperSize="9" orientation="landscape" horizont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pane ySplit="1" topLeftCell="A2" activePane="bottomLeft" state="frozen"/>
      <selection pane="bottomLeft" activeCell="C4" sqref="C4"/>
    </sheetView>
  </sheetViews>
  <sheetFormatPr defaultRowHeight="13.5" x14ac:dyDescent="0.15"/>
  <cols>
    <col min="1" max="1" width="6.625" style="6" customWidth="1"/>
    <col min="2" max="2" width="9.125" customWidth="1"/>
    <col min="3" max="3" width="77" customWidth="1"/>
    <col min="4" max="4" width="9" style="6"/>
  </cols>
  <sheetData>
    <row r="1" spans="1:4" ht="24.95" customHeight="1" x14ac:dyDescent="0.15">
      <c r="A1" s="14" t="s">
        <v>49</v>
      </c>
      <c r="B1" s="14" t="s">
        <v>34</v>
      </c>
      <c r="C1" s="14" t="s">
        <v>53</v>
      </c>
      <c r="D1" s="14" t="s">
        <v>88</v>
      </c>
    </row>
    <row r="2" spans="1:4" ht="146.25" customHeight="1" x14ac:dyDescent="0.15">
      <c r="A2" s="11">
        <f>ROW()-1</f>
        <v>1</v>
      </c>
      <c r="B2" s="15" t="s">
        <v>73</v>
      </c>
      <c r="C2" s="16" t="s">
        <v>123</v>
      </c>
      <c r="D2" s="11" t="s">
        <v>27</v>
      </c>
    </row>
    <row r="3" spans="1:4" ht="93.75" customHeight="1" x14ac:dyDescent="0.15">
      <c r="A3" s="11">
        <f t="shared" ref="A3:A5" si="0">ROW()-1</f>
        <v>2</v>
      </c>
      <c r="B3" s="15" t="s">
        <v>74</v>
      </c>
      <c r="C3" s="16" t="s">
        <v>120</v>
      </c>
      <c r="D3" s="19" t="s">
        <v>27</v>
      </c>
    </row>
    <row r="4" spans="1:4" ht="99.95" customHeight="1" x14ac:dyDescent="0.15">
      <c r="A4" s="11">
        <f t="shared" si="0"/>
        <v>3</v>
      </c>
      <c r="B4" s="15" t="s">
        <v>76</v>
      </c>
      <c r="C4" s="16" t="s">
        <v>99</v>
      </c>
      <c r="D4" s="19" t="s">
        <v>27</v>
      </c>
    </row>
    <row r="5" spans="1:4" ht="78" customHeight="1" x14ac:dyDescent="0.15">
      <c r="A5" s="11">
        <f t="shared" si="0"/>
        <v>4</v>
      </c>
      <c r="B5" s="15" t="s">
        <v>75</v>
      </c>
      <c r="C5" s="16" t="s">
        <v>100</v>
      </c>
      <c r="D5" s="19" t="s">
        <v>27</v>
      </c>
    </row>
    <row r="6" spans="1:4" ht="24.95" customHeight="1" x14ac:dyDescent="0.15">
      <c r="A6" s="11"/>
      <c r="B6" s="15"/>
      <c r="C6" s="15"/>
      <c r="D6" s="19"/>
    </row>
    <row r="7" spans="1:4" ht="24.95" customHeight="1" x14ac:dyDescent="0.15">
      <c r="A7" s="11"/>
      <c r="B7" s="15"/>
      <c r="C7" s="15"/>
      <c r="D7" s="19"/>
    </row>
    <row r="8" spans="1:4" ht="24.95" customHeight="1" x14ac:dyDescent="0.15">
      <c r="A8" s="11"/>
      <c r="B8" s="15"/>
      <c r="C8" s="15"/>
      <c r="D8" s="19"/>
    </row>
    <row r="9" spans="1:4" ht="24.95" customHeight="1" x14ac:dyDescent="0.15">
      <c r="A9" s="11"/>
      <c r="B9" s="15"/>
      <c r="C9" s="15"/>
      <c r="D9" s="19"/>
    </row>
    <row r="10" spans="1:4" ht="24.95" customHeight="1" x14ac:dyDescent="0.15">
      <c r="A10" s="5"/>
      <c r="B10" s="1"/>
      <c r="C10" s="1"/>
    </row>
    <row r="11" spans="1:4" ht="24.95" customHeight="1" x14ac:dyDescent="0.15">
      <c r="A11" s="5"/>
      <c r="B11" s="1"/>
      <c r="C11" s="1"/>
    </row>
    <row r="12" spans="1:4" ht="24.95" customHeight="1" x14ac:dyDescent="0.15">
      <c r="A12" s="5"/>
      <c r="B12" s="1"/>
      <c r="C12" s="1"/>
    </row>
    <row r="13" spans="1:4" ht="24.95" customHeight="1" x14ac:dyDescent="0.15">
      <c r="A13" s="5"/>
      <c r="B13" s="1"/>
      <c r="C13" s="1"/>
    </row>
    <row r="14" spans="1:4" ht="24.95" customHeight="1" x14ac:dyDescent="0.15">
      <c r="A14" s="5"/>
      <c r="B14" s="1"/>
      <c r="C14" s="1"/>
    </row>
    <row r="15" spans="1:4" ht="24.95" customHeight="1" x14ac:dyDescent="0.15">
      <c r="A15" s="5"/>
      <c r="B15" s="1"/>
      <c r="C15" s="1"/>
    </row>
    <row r="16" spans="1:4" ht="24.95" customHeight="1" x14ac:dyDescent="0.15">
      <c r="A16" s="5"/>
      <c r="B16" s="1"/>
      <c r="C16" s="1"/>
    </row>
    <row r="17" spans="1:3" ht="24.95" customHeight="1" x14ac:dyDescent="0.15">
      <c r="A17" s="5"/>
      <c r="B17" s="1"/>
      <c r="C17" s="1"/>
    </row>
    <row r="18" spans="1:3" ht="24.95" customHeight="1" x14ac:dyDescent="0.15">
      <c r="A18" s="5"/>
      <c r="B18" s="1"/>
      <c r="C18" s="1"/>
    </row>
    <row r="19" spans="1:3" ht="24.95" customHeight="1" x14ac:dyDescent="0.15">
      <c r="A19" s="5"/>
      <c r="B19" s="1"/>
      <c r="C19" s="1"/>
    </row>
    <row r="20" spans="1:3" ht="24.95" customHeight="1" x14ac:dyDescent="0.15">
      <c r="A20" s="5"/>
      <c r="B20" s="1"/>
      <c r="C20" s="1"/>
    </row>
  </sheetData>
  <phoneticPr fontId="1" type="noConversion"/>
  <dataValidations count="1">
    <dataValidation type="list" allowBlank="1" showInputMessage="1" showErrorMessage="1" sqref="D2:D1048576">
      <formula1>"未写完,待检测,检测中,已通过,存在问题,已关闭"</formula1>
    </dataValidation>
  </dataValidations>
  <pageMargins left="0.39370078740157483" right="0.39370078740157483" top="0.75196850393700787" bottom="0.39370078740157483" header="0.31496062992125984" footer="0.31496062992125984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pane ySplit="1" topLeftCell="A2" activePane="bottomLeft" state="frozen"/>
      <selection pane="bottomLeft" activeCell="C6" sqref="C6"/>
    </sheetView>
  </sheetViews>
  <sheetFormatPr defaultRowHeight="13.5" x14ac:dyDescent="0.15"/>
  <cols>
    <col min="1" max="1" width="6.625" style="6" customWidth="1"/>
    <col min="2" max="2" width="11.5" customWidth="1"/>
    <col min="3" max="3" width="71.25" customWidth="1"/>
    <col min="4" max="4" width="9" style="6"/>
  </cols>
  <sheetData>
    <row r="1" spans="1:4" ht="24.95" customHeight="1" x14ac:dyDescent="0.15">
      <c r="A1" s="14" t="s">
        <v>49</v>
      </c>
      <c r="B1" s="14" t="s">
        <v>34</v>
      </c>
      <c r="C1" s="14" t="s">
        <v>53</v>
      </c>
      <c r="D1" s="14" t="s">
        <v>88</v>
      </c>
    </row>
    <row r="2" spans="1:4" ht="87" customHeight="1" x14ac:dyDescent="0.15">
      <c r="A2" s="11">
        <f>ROW()-1</f>
        <v>1</v>
      </c>
      <c r="B2" s="15" t="s">
        <v>77</v>
      </c>
      <c r="C2" s="16" t="s">
        <v>89</v>
      </c>
      <c r="D2" s="11" t="s">
        <v>27</v>
      </c>
    </row>
    <row r="3" spans="1:4" ht="54.75" customHeight="1" x14ac:dyDescent="0.15">
      <c r="A3" s="11">
        <f t="shared" ref="A3:A7" si="0">ROW()-1</f>
        <v>2</v>
      </c>
      <c r="B3" s="15" t="s">
        <v>78</v>
      </c>
      <c r="C3" s="16" t="s">
        <v>90</v>
      </c>
      <c r="D3" s="11" t="s">
        <v>27</v>
      </c>
    </row>
    <row r="4" spans="1:4" ht="60" customHeight="1" x14ac:dyDescent="0.15">
      <c r="A4" s="11">
        <f t="shared" si="0"/>
        <v>3</v>
      </c>
      <c r="B4" s="15" t="s">
        <v>79</v>
      </c>
      <c r="C4" s="16" t="s">
        <v>91</v>
      </c>
      <c r="D4" s="11" t="s">
        <v>27</v>
      </c>
    </row>
    <row r="5" spans="1:4" ht="60" customHeight="1" x14ac:dyDescent="0.15">
      <c r="A5" s="11">
        <f t="shared" si="0"/>
        <v>4</v>
      </c>
      <c r="B5" s="15" t="s">
        <v>80</v>
      </c>
      <c r="C5" s="16" t="s">
        <v>131</v>
      </c>
      <c r="D5" s="11" t="s">
        <v>27</v>
      </c>
    </row>
    <row r="6" spans="1:4" ht="69" customHeight="1" x14ac:dyDescent="0.15">
      <c r="A6" s="11">
        <f t="shared" si="0"/>
        <v>5</v>
      </c>
      <c r="B6" s="15" t="s">
        <v>81</v>
      </c>
      <c r="C6" s="16" t="s">
        <v>119</v>
      </c>
      <c r="D6" s="11" t="s">
        <v>27</v>
      </c>
    </row>
    <row r="7" spans="1:4" ht="60" customHeight="1" x14ac:dyDescent="0.15">
      <c r="A7" s="11">
        <f t="shared" si="0"/>
        <v>6</v>
      </c>
      <c r="B7" s="15" t="s">
        <v>82</v>
      </c>
      <c r="C7" s="16" t="s">
        <v>97</v>
      </c>
      <c r="D7" s="11" t="s">
        <v>27</v>
      </c>
    </row>
    <row r="8" spans="1:4" ht="24.95" customHeight="1" x14ac:dyDescent="0.15">
      <c r="A8" s="11"/>
      <c r="B8" s="15"/>
      <c r="C8" s="15"/>
      <c r="D8" s="11"/>
    </row>
    <row r="9" spans="1:4" ht="24.95" customHeight="1" x14ac:dyDescent="0.15">
      <c r="A9" s="11"/>
      <c r="B9" s="15"/>
      <c r="C9" s="15"/>
      <c r="D9" s="11"/>
    </row>
    <row r="10" spans="1:4" ht="24.95" customHeight="1" x14ac:dyDescent="0.15">
      <c r="A10" s="11"/>
      <c r="B10" s="15"/>
      <c r="C10" s="15"/>
      <c r="D10" s="11"/>
    </row>
    <row r="11" spans="1:4" ht="24.95" customHeight="1" x14ac:dyDescent="0.15">
      <c r="A11" s="5"/>
      <c r="B11" s="1"/>
      <c r="C11" s="1"/>
    </row>
    <row r="12" spans="1:4" ht="24.95" customHeight="1" x14ac:dyDescent="0.15">
      <c r="A12" s="5"/>
      <c r="B12" s="1"/>
      <c r="C12" s="1"/>
    </row>
    <row r="13" spans="1:4" ht="24.95" customHeight="1" x14ac:dyDescent="0.15">
      <c r="A13" s="5"/>
      <c r="B13" s="1"/>
      <c r="C13" s="1"/>
    </row>
    <row r="14" spans="1:4" ht="24.95" customHeight="1" x14ac:dyDescent="0.15">
      <c r="A14" s="5"/>
      <c r="B14" s="1"/>
      <c r="C14" s="1"/>
    </row>
    <row r="15" spans="1:4" ht="24.95" customHeight="1" x14ac:dyDescent="0.15">
      <c r="A15" s="5"/>
      <c r="B15" s="1"/>
      <c r="C15" s="1"/>
    </row>
    <row r="16" spans="1:4" ht="24.95" customHeight="1" x14ac:dyDescent="0.15">
      <c r="A16" s="5"/>
      <c r="B16" s="1"/>
      <c r="C16" s="1"/>
    </row>
    <row r="17" spans="1:3" ht="24.95" customHeight="1" x14ac:dyDescent="0.15">
      <c r="A17" s="5"/>
      <c r="B17" s="1"/>
      <c r="C17" s="1"/>
    </row>
    <row r="18" spans="1:3" ht="24.95" customHeight="1" x14ac:dyDescent="0.15">
      <c r="A18" s="5"/>
      <c r="B18" s="1"/>
      <c r="C18" s="1"/>
    </row>
    <row r="19" spans="1:3" ht="24.95" customHeight="1" x14ac:dyDescent="0.15">
      <c r="A19" s="5"/>
      <c r="B19" s="1"/>
      <c r="C19" s="1"/>
    </row>
    <row r="20" spans="1:3" ht="24.95" customHeight="1" x14ac:dyDescent="0.15">
      <c r="A20" s="5"/>
      <c r="B20" s="1"/>
      <c r="C20" s="1"/>
    </row>
  </sheetData>
  <phoneticPr fontId="1" type="noConversion"/>
  <dataValidations disablePrompts="1" count="1">
    <dataValidation type="list" allowBlank="1" showInputMessage="1" showErrorMessage="1" sqref="D2:D1048576">
      <formula1>"未写完,待检测,检测中,已通过,存在问题,已关闭"</formula1>
    </dataValidation>
  </dataValidations>
  <pageMargins left="0.7" right="0.7" top="0.75" bottom="0.75" header="0.3" footer="0.3"/>
  <pageSetup paperSize="9" orientation="portrait" horizontalDpi="30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"/>
  <sheetViews>
    <sheetView tabSelected="1" workbookViewId="0">
      <pane ySplit="1" topLeftCell="A17" activePane="bottomLeft" state="frozen"/>
      <selection pane="bottomLeft" activeCell="C19" sqref="C19"/>
    </sheetView>
  </sheetViews>
  <sheetFormatPr defaultRowHeight="13.5" x14ac:dyDescent="0.15"/>
  <cols>
    <col min="1" max="1" width="6.625" style="5" customWidth="1"/>
    <col min="2" max="2" width="12" customWidth="1"/>
    <col min="3" max="3" width="74.25" customWidth="1"/>
    <col min="4" max="4" width="9" style="6"/>
  </cols>
  <sheetData>
    <row r="1" spans="1:4" s="13" customFormat="1" ht="24.95" customHeight="1" x14ac:dyDescent="0.15">
      <c r="A1" s="14" t="s">
        <v>49</v>
      </c>
      <c r="B1" s="14" t="s">
        <v>34</v>
      </c>
      <c r="C1" s="14" t="s">
        <v>53</v>
      </c>
      <c r="D1" s="14" t="s">
        <v>88</v>
      </c>
    </row>
    <row r="2" spans="1:4" s="1" customFormat="1" ht="157.5" customHeight="1" x14ac:dyDescent="0.15">
      <c r="A2" s="11">
        <f>ROW()-1</f>
        <v>1</v>
      </c>
      <c r="B2" s="15" t="s">
        <v>124</v>
      </c>
      <c r="C2" s="16" t="s">
        <v>139</v>
      </c>
      <c r="D2" s="11" t="s">
        <v>27</v>
      </c>
    </row>
    <row r="3" spans="1:4" s="1" customFormat="1" ht="160.5" customHeight="1" x14ac:dyDescent="0.15">
      <c r="A3" s="11">
        <f t="shared" ref="A3:A40" si="0">ROW()-1</f>
        <v>2</v>
      </c>
      <c r="B3" s="15" t="s">
        <v>35</v>
      </c>
      <c r="C3" s="16" t="s">
        <v>140</v>
      </c>
      <c r="D3" s="11" t="s">
        <v>27</v>
      </c>
    </row>
    <row r="4" spans="1:4" s="1" customFormat="1" ht="117" customHeight="1" x14ac:dyDescent="0.15">
      <c r="A4" s="11">
        <f t="shared" si="0"/>
        <v>3</v>
      </c>
      <c r="B4" s="15" t="s">
        <v>36</v>
      </c>
      <c r="C4" s="16" t="s">
        <v>125</v>
      </c>
      <c r="D4" s="11" t="s">
        <v>27</v>
      </c>
    </row>
    <row r="5" spans="1:4" s="1" customFormat="1" ht="88.5" customHeight="1" x14ac:dyDescent="0.15">
      <c r="A5" s="11">
        <f t="shared" si="0"/>
        <v>4</v>
      </c>
      <c r="B5" s="15" t="s">
        <v>37</v>
      </c>
      <c r="C5" s="16" t="s">
        <v>121</v>
      </c>
      <c r="D5" s="11" t="s">
        <v>27</v>
      </c>
    </row>
    <row r="6" spans="1:4" s="1" customFormat="1" ht="141" customHeight="1" x14ac:dyDescent="0.15">
      <c r="A6" s="11">
        <f t="shared" si="0"/>
        <v>5</v>
      </c>
      <c r="B6" s="15" t="s">
        <v>38</v>
      </c>
      <c r="C6" s="16" t="s">
        <v>110</v>
      </c>
      <c r="D6" s="11" t="s">
        <v>27</v>
      </c>
    </row>
    <row r="7" spans="1:4" s="1" customFormat="1" ht="134.25" customHeight="1" x14ac:dyDescent="0.15">
      <c r="A7" s="11">
        <f t="shared" si="0"/>
        <v>6</v>
      </c>
      <c r="B7" s="15" t="s">
        <v>39</v>
      </c>
      <c r="C7" s="16" t="s">
        <v>111</v>
      </c>
      <c r="D7" s="11" t="s">
        <v>27</v>
      </c>
    </row>
    <row r="8" spans="1:4" s="1" customFormat="1" ht="93" customHeight="1" x14ac:dyDescent="0.15">
      <c r="A8" s="11">
        <f t="shared" si="0"/>
        <v>7</v>
      </c>
      <c r="B8" s="15" t="s">
        <v>40</v>
      </c>
      <c r="C8" s="16" t="s">
        <v>92</v>
      </c>
      <c r="D8" s="11" t="s">
        <v>27</v>
      </c>
    </row>
    <row r="9" spans="1:4" s="1" customFormat="1" ht="106.5" customHeight="1" x14ac:dyDescent="0.15">
      <c r="A9" s="11">
        <f t="shared" si="0"/>
        <v>8</v>
      </c>
      <c r="B9" s="15" t="s">
        <v>41</v>
      </c>
      <c r="C9" s="16" t="s">
        <v>113</v>
      </c>
      <c r="D9" s="11" t="s">
        <v>27</v>
      </c>
    </row>
    <row r="10" spans="1:4" s="1" customFormat="1" ht="90" customHeight="1" x14ac:dyDescent="0.15">
      <c r="A10" s="11">
        <f t="shared" si="0"/>
        <v>9</v>
      </c>
      <c r="B10" s="15" t="s">
        <v>42</v>
      </c>
      <c r="C10" s="16" t="s">
        <v>93</v>
      </c>
      <c r="D10" s="11" t="s">
        <v>27</v>
      </c>
    </row>
    <row r="11" spans="1:4" s="1" customFormat="1" ht="111.75" customHeight="1" x14ac:dyDescent="0.15">
      <c r="A11" s="11">
        <f t="shared" si="0"/>
        <v>10</v>
      </c>
      <c r="B11" s="15" t="s">
        <v>43</v>
      </c>
      <c r="C11" s="16" t="s">
        <v>94</v>
      </c>
      <c r="D11" s="11" t="s">
        <v>27</v>
      </c>
    </row>
    <row r="12" spans="1:4" s="1" customFormat="1" ht="73.5" customHeight="1" x14ac:dyDescent="0.15">
      <c r="A12" s="11">
        <f t="shared" si="0"/>
        <v>11</v>
      </c>
      <c r="B12" s="15" t="s">
        <v>44</v>
      </c>
      <c r="C12" s="16" t="s">
        <v>112</v>
      </c>
      <c r="D12" s="11" t="s">
        <v>27</v>
      </c>
    </row>
    <row r="13" spans="1:4" s="1" customFormat="1" ht="78" customHeight="1" x14ac:dyDescent="0.15">
      <c r="A13" s="11">
        <f t="shared" si="0"/>
        <v>12</v>
      </c>
      <c r="B13" s="15" t="s">
        <v>45</v>
      </c>
      <c r="C13" s="16" t="s">
        <v>95</v>
      </c>
      <c r="D13" s="11" t="s">
        <v>27</v>
      </c>
    </row>
    <row r="14" spans="1:4" s="1" customFormat="1" ht="74.25" customHeight="1" x14ac:dyDescent="0.15">
      <c r="A14" s="11">
        <f t="shared" si="0"/>
        <v>13</v>
      </c>
      <c r="B14" s="15" t="s">
        <v>46</v>
      </c>
      <c r="C14" s="16" t="s">
        <v>96</v>
      </c>
      <c r="D14" s="11" t="s">
        <v>27</v>
      </c>
    </row>
    <row r="15" spans="1:4" s="1" customFormat="1" ht="60" customHeight="1" x14ac:dyDescent="0.15">
      <c r="A15" s="11">
        <f t="shared" si="0"/>
        <v>14</v>
      </c>
      <c r="B15" s="15" t="s">
        <v>47</v>
      </c>
      <c r="C15" s="16" t="s">
        <v>98</v>
      </c>
      <c r="D15" s="11" t="s">
        <v>27</v>
      </c>
    </row>
    <row r="16" spans="1:4" s="1" customFormat="1" ht="39" customHeight="1" x14ac:dyDescent="0.15">
      <c r="A16" s="11">
        <f t="shared" si="0"/>
        <v>15</v>
      </c>
      <c r="B16" s="15" t="s">
        <v>48</v>
      </c>
      <c r="C16" s="15" t="s">
        <v>132</v>
      </c>
      <c r="D16" s="11" t="s">
        <v>27</v>
      </c>
    </row>
    <row r="17" spans="1:4" s="1" customFormat="1" ht="123" customHeight="1" x14ac:dyDescent="0.15">
      <c r="A17" s="21">
        <f t="shared" si="0"/>
        <v>16</v>
      </c>
      <c r="B17" s="22" t="s">
        <v>62</v>
      </c>
      <c r="C17" s="23" t="s">
        <v>141</v>
      </c>
      <c r="D17" s="24" t="s">
        <v>27</v>
      </c>
    </row>
    <row r="18" spans="1:4" s="1" customFormat="1" ht="129.75" customHeight="1" x14ac:dyDescent="0.15">
      <c r="A18" s="24">
        <f t="shared" si="0"/>
        <v>17</v>
      </c>
      <c r="B18" s="25" t="s">
        <v>63</v>
      </c>
      <c r="C18" s="23" t="s">
        <v>142</v>
      </c>
      <c r="D18" s="24" t="s">
        <v>27</v>
      </c>
    </row>
    <row r="19" spans="1:4" s="20" customFormat="1" ht="96.75" customHeight="1" x14ac:dyDescent="0.15">
      <c r="A19" s="24">
        <f t="shared" si="0"/>
        <v>18</v>
      </c>
      <c r="B19" s="25" t="s">
        <v>50</v>
      </c>
      <c r="C19" s="23" t="s">
        <v>143</v>
      </c>
      <c r="D19" s="24" t="s">
        <v>27</v>
      </c>
    </row>
    <row r="20" spans="1:4" s="20" customFormat="1" ht="112.5" customHeight="1" x14ac:dyDescent="0.15">
      <c r="A20" s="24">
        <f t="shared" si="0"/>
        <v>19</v>
      </c>
      <c r="B20" s="25" t="s">
        <v>51</v>
      </c>
      <c r="C20" s="23" t="s">
        <v>144</v>
      </c>
      <c r="D20" s="24" t="s">
        <v>27</v>
      </c>
    </row>
    <row r="21" spans="1:4" s="1" customFormat="1" ht="86.25" customHeight="1" x14ac:dyDescent="0.15">
      <c r="A21" s="11">
        <f t="shared" si="0"/>
        <v>20</v>
      </c>
      <c r="B21" s="15" t="s">
        <v>52</v>
      </c>
      <c r="C21" s="16" t="s">
        <v>133</v>
      </c>
      <c r="D21" s="11" t="s">
        <v>27</v>
      </c>
    </row>
    <row r="22" spans="1:4" s="1" customFormat="1" ht="81" customHeight="1" x14ac:dyDescent="0.15">
      <c r="A22" s="11">
        <f t="shared" si="0"/>
        <v>21</v>
      </c>
      <c r="B22" s="15" t="s">
        <v>56</v>
      </c>
      <c r="C22" s="16" t="s">
        <v>101</v>
      </c>
      <c r="D22" s="11" t="s">
        <v>27</v>
      </c>
    </row>
    <row r="23" spans="1:4" s="1" customFormat="1" ht="78" customHeight="1" x14ac:dyDescent="0.15">
      <c r="A23" s="11">
        <f t="shared" si="0"/>
        <v>22</v>
      </c>
      <c r="B23" s="15" t="s">
        <v>54</v>
      </c>
      <c r="C23" s="16" t="s">
        <v>102</v>
      </c>
      <c r="D23" s="11" t="s">
        <v>27</v>
      </c>
    </row>
    <row r="24" spans="1:4" s="1" customFormat="1" ht="85.5" customHeight="1" x14ac:dyDescent="0.15">
      <c r="A24" s="11">
        <f t="shared" si="0"/>
        <v>23</v>
      </c>
      <c r="B24" s="15" t="s">
        <v>55</v>
      </c>
      <c r="C24" s="16" t="s">
        <v>105</v>
      </c>
      <c r="D24" s="11" t="s">
        <v>27</v>
      </c>
    </row>
    <row r="25" spans="1:4" s="1" customFormat="1" ht="60" customHeight="1" x14ac:dyDescent="0.15">
      <c r="A25" s="11">
        <f t="shared" si="0"/>
        <v>24</v>
      </c>
      <c r="B25" s="15" t="s">
        <v>57</v>
      </c>
      <c r="C25" s="16" t="s">
        <v>103</v>
      </c>
      <c r="D25" s="11" t="s">
        <v>27</v>
      </c>
    </row>
    <row r="26" spans="1:4" s="1" customFormat="1" ht="41.25" customHeight="1" x14ac:dyDescent="0.15">
      <c r="A26" s="11">
        <f t="shared" si="0"/>
        <v>25</v>
      </c>
      <c r="B26" s="15" t="s">
        <v>58</v>
      </c>
      <c r="C26" s="15" t="s">
        <v>104</v>
      </c>
      <c r="D26" s="11" t="s">
        <v>27</v>
      </c>
    </row>
    <row r="27" spans="1:4" s="1" customFormat="1" ht="49.5" customHeight="1" x14ac:dyDescent="0.15">
      <c r="A27" s="11">
        <f t="shared" si="0"/>
        <v>26</v>
      </c>
      <c r="B27" s="15" t="s">
        <v>59</v>
      </c>
      <c r="C27" s="16" t="s">
        <v>134</v>
      </c>
      <c r="D27" s="11" t="s">
        <v>27</v>
      </c>
    </row>
    <row r="28" spans="1:4" s="1" customFormat="1" ht="39.75" customHeight="1" x14ac:dyDescent="0.15">
      <c r="A28" s="11">
        <f t="shared" si="0"/>
        <v>27</v>
      </c>
      <c r="B28" s="15" t="s">
        <v>60</v>
      </c>
      <c r="C28" s="15"/>
      <c r="D28" s="11" t="s">
        <v>27</v>
      </c>
    </row>
    <row r="29" spans="1:4" s="1" customFormat="1" ht="38.25" customHeight="1" x14ac:dyDescent="0.15">
      <c r="A29" s="11">
        <f t="shared" si="0"/>
        <v>28</v>
      </c>
      <c r="B29" s="15" t="s">
        <v>61</v>
      </c>
      <c r="C29" s="15"/>
      <c r="D29" s="11" t="s">
        <v>27</v>
      </c>
    </row>
    <row r="30" spans="1:4" s="1" customFormat="1" ht="76.5" customHeight="1" x14ac:dyDescent="0.15">
      <c r="A30" s="11">
        <f t="shared" si="0"/>
        <v>29</v>
      </c>
      <c r="B30" s="15" t="s">
        <v>64</v>
      </c>
      <c r="C30" s="16" t="s">
        <v>122</v>
      </c>
      <c r="D30" s="11" t="s">
        <v>27</v>
      </c>
    </row>
    <row r="31" spans="1:4" s="1" customFormat="1" ht="89.25" customHeight="1" x14ac:dyDescent="0.15">
      <c r="A31" s="11">
        <f t="shared" si="0"/>
        <v>30</v>
      </c>
      <c r="B31" s="15" t="s">
        <v>65</v>
      </c>
      <c r="C31" s="16" t="s">
        <v>138</v>
      </c>
      <c r="D31" s="11" t="s">
        <v>27</v>
      </c>
    </row>
    <row r="32" spans="1:4" s="1" customFormat="1" ht="60" customHeight="1" x14ac:dyDescent="0.15">
      <c r="A32" s="11">
        <f t="shared" si="0"/>
        <v>31</v>
      </c>
      <c r="B32" s="15" t="s">
        <v>66</v>
      </c>
      <c r="C32" s="16" t="s">
        <v>135</v>
      </c>
      <c r="D32" s="11" t="s">
        <v>27</v>
      </c>
    </row>
    <row r="33" spans="1:4" s="1" customFormat="1" ht="71.25" customHeight="1" x14ac:dyDescent="0.15">
      <c r="A33" s="11">
        <f t="shared" si="0"/>
        <v>32</v>
      </c>
      <c r="B33" s="15" t="s">
        <v>67</v>
      </c>
      <c r="C33" s="16" t="s">
        <v>106</v>
      </c>
      <c r="D33" s="11" t="s">
        <v>27</v>
      </c>
    </row>
    <row r="34" spans="1:4" s="1" customFormat="1" ht="109.5" customHeight="1" x14ac:dyDescent="0.15">
      <c r="A34" s="11">
        <f t="shared" si="0"/>
        <v>33</v>
      </c>
      <c r="B34" s="15" t="s">
        <v>68</v>
      </c>
      <c r="C34" s="16" t="s">
        <v>137</v>
      </c>
      <c r="D34" s="11" t="s">
        <v>27</v>
      </c>
    </row>
    <row r="35" spans="1:4" s="1" customFormat="1" ht="117" customHeight="1" x14ac:dyDescent="0.15">
      <c r="A35" s="11">
        <f t="shared" si="0"/>
        <v>34</v>
      </c>
      <c r="B35" s="17" t="s">
        <v>69</v>
      </c>
      <c r="C35" s="16" t="s">
        <v>136</v>
      </c>
      <c r="D35" s="11" t="s">
        <v>27</v>
      </c>
    </row>
    <row r="36" spans="1:4" s="1" customFormat="1" ht="69.75" customHeight="1" x14ac:dyDescent="0.15">
      <c r="A36" s="11">
        <f t="shared" si="0"/>
        <v>35</v>
      </c>
      <c r="B36" s="15" t="s">
        <v>108</v>
      </c>
      <c r="C36" s="16" t="s">
        <v>117</v>
      </c>
      <c r="D36" s="11" t="s">
        <v>27</v>
      </c>
    </row>
    <row r="37" spans="1:4" s="1" customFormat="1" ht="98.25" customHeight="1" x14ac:dyDescent="0.15">
      <c r="A37" s="11">
        <f t="shared" si="0"/>
        <v>36</v>
      </c>
      <c r="B37" s="15" t="s">
        <v>109</v>
      </c>
      <c r="C37" s="16" t="s">
        <v>118</v>
      </c>
      <c r="D37" s="11" t="s">
        <v>27</v>
      </c>
    </row>
    <row r="38" spans="1:4" s="1" customFormat="1" ht="60" customHeight="1" x14ac:dyDescent="0.15">
      <c r="A38" s="11">
        <f t="shared" si="0"/>
        <v>37</v>
      </c>
      <c r="B38" s="15" t="s">
        <v>70</v>
      </c>
      <c r="C38" s="16" t="s">
        <v>115</v>
      </c>
      <c r="D38" s="11" t="s">
        <v>27</v>
      </c>
    </row>
    <row r="39" spans="1:4" s="1" customFormat="1" ht="95.25" customHeight="1" x14ac:dyDescent="0.15">
      <c r="A39" s="11">
        <f t="shared" si="0"/>
        <v>38</v>
      </c>
      <c r="B39" s="15" t="s">
        <v>71</v>
      </c>
      <c r="C39" s="16" t="s">
        <v>116</v>
      </c>
      <c r="D39" s="11" t="s">
        <v>27</v>
      </c>
    </row>
    <row r="40" spans="1:4" s="1" customFormat="1" ht="93.75" customHeight="1" x14ac:dyDescent="0.15">
      <c r="A40" s="11">
        <f t="shared" si="0"/>
        <v>39</v>
      </c>
      <c r="B40" s="15" t="s">
        <v>72</v>
      </c>
      <c r="C40" s="16" t="s">
        <v>114</v>
      </c>
      <c r="D40" s="11" t="s">
        <v>27</v>
      </c>
    </row>
    <row r="41" spans="1:4" s="1" customFormat="1" ht="24.95" customHeight="1" x14ac:dyDescent="0.15">
      <c r="A41" s="5"/>
      <c r="D41" s="6"/>
    </row>
    <row r="42" spans="1:4" s="1" customFormat="1" ht="24.95" customHeight="1" x14ac:dyDescent="0.15">
      <c r="A42" s="5"/>
      <c r="D42" s="6"/>
    </row>
    <row r="43" spans="1:4" s="1" customFormat="1" ht="24.95" customHeight="1" x14ac:dyDescent="0.15">
      <c r="A43" s="5"/>
      <c r="D43" s="6"/>
    </row>
    <row r="44" spans="1:4" s="1" customFormat="1" ht="24.95" customHeight="1" x14ac:dyDescent="0.15">
      <c r="A44" s="5"/>
      <c r="D44" s="6"/>
    </row>
    <row r="45" spans="1:4" s="1" customFormat="1" ht="24.95" customHeight="1" x14ac:dyDescent="0.15">
      <c r="A45" s="5"/>
      <c r="D45" s="6"/>
    </row>
    <row r="46" spans="1:4" s="1" customFormat="1" ht="18" customHeight="1" x14ac:dyDescent="0.15">
      <c r="A46" s="5"/>
      <c r="D46" s="6"/>
    </row>
    <row r="47" spans="1:4" s="1" customFormat="1" ht="18" customHeight="1" x14ac:dyDescent="0.15">
      <c r="A47" s="5"/>
      <c r="D47" s="6"/>
    </row>
    <row r="48" spans="1:4" s="1" customFormat="1" ht="18" customHeight="1" x14ac:dyDescent="0.15">
      <c r="A48" s="5"/>
      <c r="D48" s="6"/>
    </row>
    <row r="49" spans="1:4" s="1" customFormat="1" ht="18" customHeight="1" x14ac:dyDescent="0.15">
      <c r="A49" s="5"/>
      <c r="D49" s="6"/>
    </row>
    <row r="50" spans="1:4" s="1" customFormat="1" ht="18" customHeight="1" x14ac:dyDescent="0.15">
      <c r="A50" s="5"/>
      <c r="D50" s="6"/>
    </row>
    <row r="51" spans="1:4" s="1" customFormat="1" ht="18" customHeight="1" x14ac:dyDescent="0.15">
      <c r="A51" s="5"/>
      <c r="D51" s="6"/>
    </row>
    <row r="52" spans="1:4" s="1" customFormat="1" ht="18" customHeight="1" x14ac:dyDescent="0.15">
      <c r="A52" s="5"/>
      <c r="D52" s="6"/>
    </row>
    <row r="53" spans="1:4" s="1" customFormat="1" ht="18" customHeight="1" x14ac:dyDescent="0.15">
      <c r="A53" s="5"/>
      <c r="D53" s="6"/>
    </row>
    <row r="54" spans="1:4" s="1" customFormat="1" ht="18" customHeight="1" x14ac:dyDescent="0.15">
      <c r="A54" s="5"/>
      <c r="D54" s="6"/>
    </row>
    <row r="55" spans="1:4" s="1" customFormat="1" ht="18" customHeight="1" x14ac:dyDescent="0.15">
      <c r="A55" s="5"/>
      <c r="D55" s="6"/>
    </row>
    <row r="56" spans="1:4" s="1" customFormat="1" ht="18" customHeight="1" x14ac:dyDescent="0.15">
      <c r="A56" s="5"/>
      <c r="D56" s="6"/>
    </row>
    <row r="57" spans="1:4" s="1" customFormat="1" ht="18" customHeight="1" x14ac:dyDescent="0.15">
      <c r="A57" s="5"/>
      <c r="D57" s="6"/>
    </row>
    <row r="58" spans="1:4" s="1" customFormat="1" ht="18" customHeight="1" x14ac:dyDescent="0.15">
      <c r="A58" s="5"/>
      <c r="D58" s="6"/>
    </row>
    <row r="59" spans="1:4" s="1" customFormat="1" ht="18" customHeight="1" x14ac:dyDescent="0.15">
      <c r="A59" s="5"/>
      <c r="D59" s="6"/>
    </row>
    <row r="60" spans="1:4" s="1" customFormat="1" ht="18" customHeight="1" x14ac:dyDescent="0.15">
      <c r="A60" s="5"/>
      <c r="D60" s="6"/>
    </row>
    <row r="61" spans="1:4" s="1" customFormat="1" ht="18" customHeight="1" x14ac:dyDescent="0.15">
      <c r="A61" s="5"/>
      <c r="D61" s="6"/>
    </row>
    <row r="62" spans="1:4" s="1" customFormat="1" ht="18" customHeight="1" x14ac:dyDescent="0.15">
      <c r="A62" s="5"/>
      <c r="D62" s="6"/>
    </row>
    <row r="63" spans="1:4" s="1" customFormat="1" ht="18" customHeight="1" x14ac:dyDescent="0.15">
      <c r="A63" s="5"/>
      <c r="D63" s="6"/>
    </row>
    <row r="64" spans="1:4" s="1" customFormat="1" ht="18" customHeight="1" x14ac:dyDescent="0.15">
      <c r="A64" s="5"/>
      <c r="D64" s="6"/>
    </row>
    <row r="65" spans="1:4" s="1" customFormat="1" ht="18" customHeight="1" x14ac:dyDescent="0.15">
      <c r="A65" s="5"/>
      <c r="D65" s="6"/>
    </row>
    <row r="66" spans="1:4" s="1" customFormat="1" ht="18" customHeight="1" x14ac:dyDescent="0.15">
      <c r="A66" s="5"/>
      <c r="D66" s="6"/>
    </row>
    <row r="67" spans="1:4" s="1" customFormat="1" ht="18" customHeight="1" x14ac:dyDescent="0.15">
      <c r="A67" s="5"/>
      <c r="D67" s="6"/>
    </row>
    <row r="68" spans="1:4" s="1" customFormat="1" ht="18" customHeight="1" x14ac:dyDescent="0.15">
      <c r="A68" s="5"/>
      <c r="D68" s="6"/>
    </row>
    <row r="69" spans="1:4" s="1" customFormat="1" ht="18" customHeight="1" x14ac:dyDescent="0.15">
      <c r="A69" s="5"/>
      <c r="D69" s="6"/>
    </row>
    <row r="70" spans="1:4" s="1" customFormat="1" ht="18" customHeight="1" x14ac:dyDescent="0.15">
      <c r="A70" s="5"/>
      <c r="D70" s="6"/>
    </row>
    <row r="71" spans="1:4" s="1" customFormat="1" x14ac:dyDescent="0.15">
      <c r="A71" s="5"/>
      <c r="D71" s="6"/>
    </row>
    <row r="72" spans="1:4" s="1" customFormat="1" x14ac:dyDescent="0.15">
      <c r="A72" s="5"/>
      <c r="D72" s="6"/>
    </row>
    <row r="73" spans="1:4" s="1" customFormat="1" x14ac:dyDescent="0.15">
      <c r="A73" s="5"/>
      <c r="D73" s="6"/>
    </row>
    <row r="74" spans="1:4" s="1" customFormat="1" x14ac:dyDescent="0.15">
      <c r="A74" s="5"/>
      <c r="D74" s="6"/>
    </row>
    <row r="75" spans="1:4" s="1" customFormat="1" x14ac:dyDescent="0.15">
      <c r="A75" s="5"/>
      <c r="D75" s="6"/>
    </row>
    <row r="76" spans="1:4" s="1" customFormat="1" x14ac:dyDescent="0.15">
      <c r="A76" s="5"/>
      <c r="D76" s="6"/>
    </row>
    <row r="77" spans="1:4" s="1" customFormat="1" x14ac:dyDescent="0.15">
      <c r="A77" s="5"/>
      <c r="D77" s="6"/>
    </row>
    <row r="78" spans="1:4" s="1" customFormat="1" x14ac:dyDescent="0.15">
      <c r="A78" s="5"/>
      <c r="D78" s="6"/>
    </row>
    <row r="79" spans="1:4" s="1" customFormat="1" x14ac:dyDescent="0.15">
      <c r="A79" s="5"/>
      <c r="D79" s="6"/>
    </row>
    <row r="80" spans="1:4" s="1" customFormat="1" x14ac:dyDescent="0.15">
      <c r="A80" s="5"/>
      <c r="D80" s="6"/>
    </row>
    <row r="81" spans="1:4" s="1" customFormat="1" x14ac:dyDescent="0.15">
      <c r="A81" s="5"/>
      <c r="D81" s="6"/>
    </row>
    <row r="82" spans="1:4" s="1" customFormat="1" x14ac:dyDescent="0.15">
      <c r="A82" s="5"/>
      <c r="D82" s="6"/>
    </row>
    <row r="83" spans="1:4" s="1" customFormat="1" x14ac:dyDescent="0.15">
      <c r="A83" s="5"/>
      <c r="D83" s="6"/>
    </row>
    <row r="84" spans="1:4" s="1" customFormat="1" x14ac:dyDescent="0.15">
      <c r="A84" s="5"/>
      <c r="D84" s="6"/>
    </row>
    <row r="85" spans="1:4" s="1" customFormat="1" x14ac:dyDescent="0.15">
      <c r="A85" s="5"/>
      <c r="D85" s="6"/>
    </row>
    <row r="86" spans="1:4" s="1" customFormat="1" x14ac:dyDescent="0.15">
      <c r="A86" s="5"/>
      <c r="D86" s="6"/>
    </row>
    <row r="87" spans="1:4" s="1" customFormat="1" x14ac:dyDescent="0.15">
      <c r="A87" s="5"/>
      <c r="D87" s="6"/>
    </row>
    <row r="88" spans="1:4" s="1" customFormat="1" x14ac:dyDescent="0.15">
      <c r="A88" s="5"/>
      <c r="D88" s="6"/>
    </row>
    <row r="89" spans="1:4" s="1" customFormat="1" x14ac:dyDescent="0.15">
      <c r="A89" s="5"/>
      <c r="D89" s="6"/>
    </row>
    <row r="90" spans="1:4" s="1" customFormat="1" x14ac:dyDescent="0.15">
      <c r="A90" s="5"/>
      <c r="D90" s="6"/>
    </row>
    <row r="91" spans="1:4" s="1" customFormat="1" x14ac:dyDescent="0.15">
      <c r="A91" s="5"/>
      <c r="D91" s="6"/>
    </row>
    <row r="92" spans="1:4" s="1" customFormat="1" x14ac:dyDescent="0.15">
      <c r="A92" s="5"/>
      <c r="D92" s="6"/>
    </row>
    <row r="93" spans="1:4" s="1" customFormat="1" x14ac:dyDescent="0.15">
      <c r="A93" s="5"/>
      <c r="D93" s="6"/>
    </row>
    <row r="94" spans="1:4" s="1" customFormat="1" x14ac:dyDescent="0.15">
      <c r="A94" s="5"/>
      <c r="D94" s="6"/>
    </row>
    <row r="95" spans="1:4" s="1" customFormat="1" x14ac:dyDescent="0.15">
      <c r="A95" s="5"/>
      <c r="D95" s="6"/>
    </row>
    <row r="96" spans="1:4" s="1" customFormat="1" x14ac:dyDescent="0.15">
      <c r="A96" s="5"/>
      <c r="D96" s="6"/>
    </row>
    <row r="97" spans="1:4" s="1" customFormat="1" ht="14.25" customHeight="1" x14ac:dyDescent="0.15">
      <c r="A97" s="5"/>
      <c r="D97" s="6"/>
    </row>
    <row r="98" spans="1:4" s="1" customFormat="1" x14ac:dyDescent="0.15">
      <c r="A98" s="5"/>
      <c r="D98" s="6"/>
    </row>
    <row r="99" spans="1:4" s="1" customFormat="1" x14ac:dyDescent="0.15">
      <c r="A99" s="5"/>
      <c r="D99" s="6"/>
    </row>
  </sheetData>
  <phoneticPr fontId="1" type="noConversion"/>
  <dataValidations count="1">
    <dataValidation type="list" allowBlank="1" showInputMessage="1" showErrorMessage="1" sqref="D2:D1048576">
      <formula1>"未写完,待检测,检测中,已通过,存在问题,已关闭"</formula1>
    </dataValidation>
  </dataValidations>
  <pageMargins left="0.39370078740157483" right="0.39370078740157483" top="0.39370078740157483" bottom="0.39370078740157483" header="0.31496062992125984" footer="0.31496062992125984"/>
  <pageSetup paperSize="9" orientation="portrait" horizontalDpi="30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pane ySplit="1" topLeftCell="A2" activePane="bottomLeft" state="frozen"/>
      <selection pane="bottomLeft" activeCell="E5" sqref="E5"/>
    </sheetView>
  </sheetViews>
  <sheetFormatPr defaultRowHeight="13.5" x14ac:dyDescent="0.15"/>
  <cols>
    <col min="1" max="1" width="6.625" style="6" customWidth="1"/>
    <col min="2" max="2" width="8.75" customWidth="1"/>
    <col min="3" max="3" width="80.625" customWidth="1"/>
    <col min="4" max="4" width="9" style="6"/>
  </cols>
  <sheetData>
    <row r="1" spans="1:4" ht="24.95" customHeight="1" x14ac:dyDescent="0.15">
      <c r="A1" s="14" t="s">
        <v>49</v>
      </c>
      <c r="B1" s="14" t="s">
        <v>34</v>
      </c>
      <c r="C1" s="14" t="s">
        <v>53</v>
      </c>
      <c r="D1" s="14" t="s">
        <v>88</v>
      </c>
    </row>
    <row r="2" spans="1:4" ht="70.5" customHeight="1" x14ac:dyDescent="0.15">
      <c r="A2" s="11">
        <f>ROW()-1</f>
        <v>1</v>
      </c>
      <c r="B2" s="15" t="s">
        <v>83</v>
      </c>
      <c r="C2" s="16" t="s">
        <v>126</v>
      </c>
      <c r="D2" s="11" t="s">
        <v>27</v>
      </c>
    </row>
    <row r="3" spans="1:4" ht="69" customHeight="1" x14ac:dyDescent="0.15">
      <c r="A3" s="11">
        <f t="shared" ref="A3:A5" si="0">ROW()-1</f>
        <v>2</v>
      </c>
      <c r="B3" s="15" t="s">
        <v>84</v>
      </c>
      <c r="C3" s="16" t="s">
        <v>127</v>
      </c>
      <c r="D3" s="19" t="s">
        <v>27</v>
      </c>
    </row>
    <row r="4" spans="1:4" ht="67.5" customHeight="1" x14ac:dyDescent="0.15">
      <c r="A4" s="11">
        <f t="shared" si="0"/>
        <v>3</v>
      </c>
      <c r="B4" s="15" t="s">
        <v>85</v>
      </c>
      <c r="C4" s="16" t="s">
        <v>128</v>
      </c>
      <c r="D4" s="19" t="s">
        <v>27</v>
      </c>
    </row>
    <row r="5" spans="1:4" ht="68.25" customHeight="1" x14ac:dyDescent="0.15">
      <c r="A5" s="11">
        <f t="shared" si="0"/>
        <v>4</v>
      </c>
      <c r="B5" s="15" t="s">
        <v>86</v>
      </c>
      <c r="C5" s="16" t="s">
        <v>129</v>
      </c>
      <c r="D5" s="19" t="s">
        <v>27</v>
      </c>
    </row>
    <row r="6" spans="1:4" ht="73.5" customHeight="1" x14ac:dyDescent="0.15">
      <c r="A6" s="11">
        <v>5</v>
      </c>
      <c r="B6" s="15" t="s">
        <v>107</v>
      </c>
      <c r="C6" s="16" t="s">
        <v>130</v>
      </c>
      <c r="D6" s="19" t="s">
        <v>27</v>
      </c>
    </row>
    <row r="7" spans="1:4" ht="24.95" customHeight="1" x14ac:dyDescent="0.15">
      <c r="A7" s="11"/>
      <c r="B7" s="15"/>
      <c r="C7" s="15"/>
      <c r="D7" s="19"/>
    </row>
    <row r="8" spans="1:4" ht="24.95" customHeight="1" x14ac:dyDescent="0.15">
      <c r="A8" s="11"/>
      <c r="B8" s="15"/>
      <c r="C8" s="15"/>
      <c r="D8" s="19"/>
    </row>
    <row r="9" spans="1:4" ht="24.95" customHeight="1" x14ac:dyDescent="0.15">
      <c r="A9" s="11"/>
      <c r="B9" s="15"/>
      <c r="C9" s="15"/>
      <c r="D9" s="19"/>
    </row>
    <row r="10" spans="1:4" ht="24.95" customHeight="1" x14ac:dyDescent="0.15">
      <c r="A10" s="11"/>
      <c r="B10" s="15"/>
      <c r="C10" s="15"/>
      <c r="D10" s="18"/>
    </row>
    <row r="11" spans="1:4" ht="24.95" customHeight="1" x14ac:dyDescent="0.15">
      <c r="A11" s="5"/>
      <c r="B11" s="1"/>
      <c r="C11" s="1"/>
    </row>
    <row r="12" spans="1:4" ht="24.95" customHeight="1" x14ac:dyDescent="0.15">
      <c r="A12" s="5"/>
      <c r="B12" s="1"/>
      <c r="C12" s="1"/>
    </row>
    <row r="13" spans="1:4" ht="24.95" customHeight="1" x14ac:dyDescent="0.15">
      <c r="A13" s="5"/>
      <c r="B13" s="1"/>
      <c r="C13" s="1"/>
    </row>
    <row r="14" spans="1:4" ht="24.95" customHeight="1" x14ac:dyDescent="0.15">
      <c r="A14" s="5"/>
      <c r="B14" s="1"/>
      <c r="C14" s="1"/>
    </row>
    <row r="15" spans="1:4" ht="24.95" customHeight="1" x14ac:dyDescent="0.15">
      <c r="A15" s="5"/>
      <c r="B15" s="1"/>
      <c r="C15" s="1"/>
    </row>
    <row r="16" spans="1:4" ht="24.95" customHeight="1" x14ac:dyDescent="0.15">
      <c r="A16" s="5"/>
      <c r="B16" s="1"/>
      <c r="C16" s="1"/>
    </row>
    <row r="17" spans="1:3" ht="24.95" customHeight="1" x14ac:dyDescent="0.15">
      <c r="A17" s="5"/>
      <c r="B17" s="1"/>
      <c r="C17" s="1"/>
    </row>
    <row r="18" spans="1:3" ht="24.95" customHeight="1" x14ac:dyDescent="0.15">
      <c r="A18" s="5"/>
      <c r="B18" s="1"/>
      <c r="C18" s="1"/>
    </row>
    <row r="19" spans="1:3" ht="24.95" customHeight="1" x14ac:dyDescent="0.15">
      <c r="A19" s="5"/>
      <c r="B19" s="1"/>
      <c r="C19" s="1"/>
    </row>
    <row r="20" spans="1:3" ht="24.95" customHeight="1" x14ac:dyDescent="0.15">
      <c r="A20" s="5"/>
      <c r="B20" s="1"/>
      <c r="C20" s="1"/>
    </row>
  </sheetData>
  <phoneticPr fontId="1" type="noConversion"/>
  <dataValidations count="1">
    <dataValidation type="list" allowBlank="1" showInputMessage="1" showErrorMessage="1" sqref="D2:D1048576">
      <formula1>"未写完,待检测,检测中,已通过,存在问题,已关闭"</formula1>
    </dataValidation>
  </dataValidations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POS校验</vt:lpstr>
      <vt:lpstr>后台数据校验</vt:lpstr>
      <vt:lpstr>库存报表</vt:lpstr>
      <vt:lpstr>盘点差异报表</vt:lpstr>
      <vt:lpstr>进销存报表</vt:lpstr>
      <vt:lpstr>会员销售报表</vt:lpstr>
    </vt:vector>
  </TitlesOfParts>
  <Company>csf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caishaofa</dc:creator>
  <cp:lastModifiedBy>caishaofa</cp:lastModifiedBy>
  <cp:lastPrinted>2015-12-25T06:03:55Z</cp:lastPrinted>
  <dcterms:created xsi:type="dcterms:W3CDTF">2015-11-27T07:01:55Z</dcterms:created>
  <dcterms:modified xsi:type="dcterms:W3CDTF">2016-01-20T06:41:21Z</dcterms:modified>
</cp:coreProperties>
</file>